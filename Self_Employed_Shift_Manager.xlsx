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Record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lient Summary" sheetId="3" state="visible" r:id="rId3"/>
    <sheet xmlns:r="http://schemas.openxmlformats.org/officeDocument/2006/relationships" name="Tax Estim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Client</t>
        </is>
      </c>
      <c r="D1" s="1" t="inlineStr">
        <is>
          <t>Shift Type</t>
        </is>
      </c>
      <c r="E1" s="1" t="inlineStr">
        <is>
          <t>Hours Worked</t>
        </is>
      </c>
      <c r="F1" s="1" t="inlineStr">
        <is>
          <t>Base Rate (£)</t>
        </is>
      </c>
      <c r="G1" s="1" t="inlineStr">
        <is>
          <t>Overtime Hours</t>
        </is>
      </c>
      <c r="H1" s="1" t="inlineStr">
        <is>
          <t>Overtime Rate (£)</t>
        </is>
      </c>
      <c r="I1" s="1" t="inlineStr">
        <is>
          <t>Mileage (Miles)</t>
        </is>
      </c>
      <c r="J1" s="1" t="inlineStr">
        <is>
          <t>Mileage Rate (£)</t>
        </is>
      </c>
      <c r="K1" s="1" t="inlineStr">
        <is>
          <t>Travel (£)</t>
        </is>
      </c>
      <c r="L1" s="1" t="inlineStr">
        <is>
          <t>Food (£)</t>
        </is>
      </c>
      <c r="M1" s="1" t="inlineStr">
        <is>
          <t>Other (£)</t>
        </is>
      </c>
      <c r="N1" s="1" t="inlineStr">
        <is>
          <t>Gross Pay (£)</t>
        </is>
      </c>
      <c r="O1" s="1" t="inlineStr">
        <is>
          <t>Total Expenses (£)</t>
        </is>
      </c>
      <c r="P1" s="1" t="inlineStr">
        <is>
          <t>Net Pay (£)</t>
        </is>
      </c>
    </row>
    <row r="2">
      <c r="N2">
        <f>((E2*F2*IF(D2="Weekend",1.25,IF(D2="Night",1.5,IF(D2="Bank Holiday",2,1))))+(G2*H2))</f>
        <v/>
      </c>
      <c r="O2">
        <f>(I2*J2)+K2+L2+M2</f>
        <v/>
      </c>
      <c r="P2">
        <f>N2-O2</f>
        <v/>
      </c>
    </row>
    <row r="3">
      <c r="N3">
        <f>((E3*F3*IF(D3="Weekend",1.25,IF(D3="Night",1.5,IF(D3="Bank Holiday",2,1))))+(G3*H3))</f>
        <v/>
      </c>
      <c r="O3">
        <f>(I3*J3)+K3+L3+M3</f>
        <v/>
      </c>
      <c r="P3">
        <f>N3-O3</f>
        <v/>
      </c>
    </row>
    <row r="4">
      <c r="N4">
        <f>((E4*F4*IF(D4="Weekend",1.25,IF(D4="Night",1.5,IF(D4="Bank Holiday",2,1))))+(G4*H4))</f>
        <v/>
      </c>
      <c r="O4">
        <f>(I4*J4)+K4+L4+M4</f>
        <v/>
      </c>
      <c r="P4">
        <f>N4-O4</f>
        <v/>
      </c>
    </row>
    <row r="5">
      <c r="N5">
        <f>((E5*F5*IF(D5="Weekend",1.25,IF(D5="Night",1.5,IF(D5="Bank Holiday",2,1))))+(G5*H5))</f>
        <v/>
      </c>
      <c r="O5">
        <f>(I5*J5)+K5+L5+M5</f>
        <v/>
      </c>
      <c r="P5">
        <f>N5-O5</f>
        <v/>
      </c>
    </row>
    <row r="6">
      <c r="N6">
        <f>((E6*F6*IF(D6="Weekend",1.25,IF(D6="Night",1.5,IF(D6="Bank Holiday",2,1))))+(G6*H6))</f>
        <v/>
      </c>
      <c r="O6">
        <f>(I6*J6)+K6+L6+M6</f>
        <v/>
      </c>
      <c r="P6">
        <f>N6-O6</f>
        <v/>
      </c>
    </row>
    <row r="7">
      <c r="N7">
        <f>((E7*F7*IF(D7="Weekend",1.25,IF(D7="Night",1.5,IF(D7="Bank Holiday",2,1))))+(G7*H7))</f>
        <v/>
      </c>
      <c r="O7">
        <f>(I7*J7)+K7+L7+M7</f>
        <v/>
      </c>
      <c r="P7">
        <f>N7-O7</f>
        <v/>
      </c>
    </row>
    <row r="8">
      <c r="N8">
        <f>((E8*F8*IF(D8="Weekend",1.25,IF(D8="Night",1.5,IF(D8="Bank Holiday",2,1))))+(G8*H8))</f>
        <v/>
      </c>
      <c r="O8">
        <f>(I8*J8)+K8+L8+M8</f>
        <v/>
      </c>
      <c r="P8">
        <f>N8-O8</f>
        <v/>
      </c>
    </row>
    <row r="9">
      <c r="N9">
        <f>((E9*F9*IF(D9="Weekend",1.25,IF(D9="Night",1.5,IF(D9="Bank Holiday",2,1))))+(G9*H9))</f>
        <v/>
      </c>
      <c r="O9">
        <f>(I9*J9)+K9+L9+M9</f>
        <v/>
      </c>
      <c r="P9">
        <f>N9-O9</f>
        <v/>
      </c>
    </row>
    <row r="10">
      <c r="N10">
        <f>((E10*F10*IF(D10="Weekend",1.25,IF(D10="Night",1.5,IF(D10="Bank Holiday",2,1))))+(G10*H10))</f>
        <v/>
      </c>
      <c r="O10">
        <f>(I10*J10)+K10+L10+M10</f>
        <v/>
      </c>
      <c r="P10">
        <f>N10-O10</f>
        <v/>
      </c>
    </row>
    <row r="11">
      <c r="N11">
        <f>((E11*F11*IF(D11="Weekend",1.25,IF(D11="Night",1.5,IF(D11="Bank Holiday",2,1))))+(G11*H11))</f>
        <v/>
      </c>
      <c r="O11">
        <f>(I11*J11)+K11+L11+M11</f>
        <v/>
      </c>
      <c r="P11">
        <f>N11-O11</f>
        <v/>
      </c>
    </row>
    <row r="12">
      <c r="N12">
        <f>((E12*F12*IF(D12="Weekend",1.25,IF(D12="Night",1.5,IF(D12="Bank Holiday",2,1))))+(G12*H12))</f>
        <v/>
      </c>
      <c r="O12">
        <f>(I12*J12)+K12+L12+M12</f>
        <v/>
      </c>
      <c r="P12">
        <f>N12-O12</f>
        <v/>
      </c>
    </row>
    <row r="13">
      <c r="N13">
        <f>((E13*F13*IF(D13="Weekend",1.25,IF(D13="Night",1.5,IF(D13="Bank Holiday",2,1))))+(G13*H13))</f>
        <v/>
      </c>
      <c r="O13">
        <f>(I13*J13)+K13+L13+M13</f>
        <v/>
      </c>
      <c r="P13">
        <f>N13-O13</f>
        <v/>
      </c>
    </row>
    <row r="14">
      <c r="N14">
        <f>((E14*F14*IF(D14="Weekend",1.25,IF(D14="Night",1.5,IF(D14="Bank Holiday",2,1))))+(G14*H14))</f>
        <v/>
      </c>
      <c r="O14">
        <f>(I14*J14)+K14+L14+M14</f>
        <v/>
      </c>
      <c r="P14">
        <f>N14-O14</f>
        <v/>
      </c>
    </row>
    <row r="15">
      <c r="N15">
        <f>((E15*F15*IF(D15="Weekend",1.25,IF(D15="Night",1.5,IF(D15="Bank Holiday",2,1))))+(G15*H15))</f>
        <v/>
      </c>
      <c r="O15">
        <f>(I15*J15)+K15+L15+M15</f>
        <v/>
      </c>
      <c r="P15">
        <f>N15-O15</f>
        <v/>
      </c>
    </row>
    <row r="16">
      <c r="N16">
        <f>((E16*F16*IF(D16="Weekend",1.25,IF(D16="Night",1.5,IF(D16="Bank Holiday",2,1))))+(G16*H16))</f>
        <v/>
      </c>
      <c r="O16">
        <f>(I16*J16)+K16+L16+M16</f>
        <v/>
      </c>
      <c r="P16">
        <f>N16-O16</f>
        <v/>
      </c>
    </row>
    <row r="17">
      <c r="N17">
        <f>((E17*F17*IF(D17="Weekend",1.25,IF(D17="Night",1.5,IF(D17="Bank Holiday",2,1))))+(G17*H17))</f>
        <v/>
      </c>
      <c r="O17">
        <f>(I17*J17)+K17+L17+M17</f>
        <v/>
      </c>
      <c r="P17">
        <f>N17-O17</f>
        <v/>
      </c>
    </row>
    <row r="18">
      <c r="N18">
        <f>((E18*F18*IF(D18="Weekend",1.25,IF(D18="Night",1.5,IF(D18="Bank Holiday",2,1))))+(G18*H18))</f>
        <v/>
      </c>
      <c r="O18">
        <f>(I18*J18)+K18+L18+M18</f>
        <v/>
      </c>
      <c r="P18">
        <f>N18-O18</f>
        <v/>
      </c>
    </row>
    <row r="19">
      <c r="N19">
        <f>((E19*F19*IF(D19="Weekend",1.25,IF(D19="Night",1.5,IF(D19="Bank Holiday",2,1))))+(G19*H19))</f>
        <v/>
      </c>
      <c r="O19">
        <f>(I19*J19)+K19+L19+M19</f>
        <v/>
      </c>
      <c r="P19">
        <f>N19-O19</f>
        <v/>
      </c>
    </row>
    <row r="20">
      <c r="N20">
        <f>((E20*F20*IF(D20="Weekend",1.25,IF(D20="Night",1.5,IF(D20="Bank Holiday",2,1))))+(G20*H20))</f>
        <v/>
      </c>
      <c r="O20">
        <f>(I20*J20)+K20+L20+M20</f>
        <v/>
      </c>
      <c r="P20">
        <f>N20-O20</f>
        <v/>
      </c>
    </row>
    <row r="21">
      <c r="N21">
        <f>((E21*F21*IF(D21="Weekend",1.25,IF(D21="Night",1.5,IF(D21="Bank Holiday",2,1))))+(G21*H21))</f>
        <v/>
      </c>
      <c r="O21">
        <f>(I21*J21)+K21+L21+M21</f>
        <v/>
      </c>
      <c r="P21">
        <f>N21-O21</f>
        <v/>
      </c>
    </row>
    <row r="22">
      <c r="N22">
        <f>((E22*F22*IF(D22="Weekend",1.25,IF(D22="Night",1.5,IF(D22="Bank Holiday",2,1))))+(G22*H22))</f>
        <v/>
      </c>
      <c r="O22">
        <f>(I22*J22)+K22+L22+M22</f>
        <v/>
      </c>
      <c r="P22">
        <f>N22-O22</f>
        <v/>
      </c>
    </row>
    <row r="23">
      <c r="N23">
        <f>((E23*F23*IF(D23="Weekend",1.25,IF(D23="Night",1.5,IF(D23="Bank Holiday",2,1))))+(G23*H23))</f>
        <v/>
      </c>
      <c r="O23">
        <f>(I23*J23)+K23+L23+M23</f>
        <v/>
      </c>
      <c r="P23">
        <f>N23-O23</f>
        <v/>
      </c>
    </row>
    <row r="24">
      <c r="N24">
        <f>((E24*F24*IF(D24="Weekend",1.25,IF(D24="Night",1.5,IF(D24="Bank Holiday",2,1))))+(G24*H24))</f>
        <v/>
      </c>
      <c r="O24">
        <f>(I24*J24)+K24+L24+M24</f>
        <v/>
      </c>
      <c r="P24">
        <f>N24-O24</f>
        <v/>
      </c>
    </row>
    <row r="25">
      <c r="N25">
        <f>((E25*F25*IF(D25="Weekend",1.25,IF(D25="Night",1.5,IF(D25="Bank Holiday",2,1))))+(G25*H25))</f>
        <v/>
      </c>
      <c r="O25">
        <f>(I25*J25)+K25+L25+M25</f>
        <v/>
      </c>
      <c r="P25">
        <f>N25-O25</f>
        <v/>
      </c>
    </row>
    <row r="26">
      <c r="N26">
        <f>((E26*F26*IF(D26="Weekend",1.25,IF(D26="Night",1.5,IF(D26="Bank Holiday",2,1))))+(G26*H26))</f>
        <v/>
      </c>
      <c r="O26">
        <f>(I26*J26)+K26+L26+M26</f>
        <v/>
      </c>
      <c r="P26">
        <f>N26-O26</f>
        <v/>
      </c>
    </row>
    <row r="27">
      <c r="N27">
        <f>((E27*F27*IF(D27="Weekend",1.25,IF(D27="Night",1.5,IF(D27="Bank Holiday",2,1))))+(G27*H27))</f>
        <v/>
      </c>
      <c r="O27">
        <f>(I27*J27)+K27+L27+M27</f>
        <v/>
      </c>
      <c r="P27">
        <f>N27-O27</f>
        <v/>
      </c>
    </row>
    <row r="28">
      <c r="N28">
        <f>((E28*F28*IF(D28="Weekend",1.25,IF(D28="Night",1.5,IF(D28="Bank Holiday",2,1))))+(G28*H28))</f>
        <v/>
      </c>
      <c r="O28">
        <f>(I28*J28)+K28+L28+M28</f>
        <v/>
      </c>
      <c r="P28">
        <f>N28-O28</f>
        <v/>
      </c>
    </row>
    <row r="29">
      <c r="N29">
        <f>((E29*F29*IF(D29="Weekend",1.25,IF(D29="Night",1.5,IF(D29="Bank Holiday",2,1))))+(G29*H29))</f>
        <v/>
      </c>
      <c r="O29">
        <f>(I29*J29)+K29+L29+M29</f>
        <v/>
      </c>
      <c r="P29">
        <f>N29-O29</f>
        <v/>
      </c>
    </row>
    <row r="30">
      <c r="N30">
        <f>((E30*F30*IF(D30="Weekend",1.25,IF(D30="Night",1.5,IF(D30="Bank Holiday",2,1))))+(G30*H30))</f>
        <v/>
      </c>
      <c r="O30">
        <f>(I30*J30)+K30+L30+M30</f>
        <v/>
      </c>
      <c r="P30">
        <f>N30-O30</f>
        <v/>
      </c>
    </row>
    <row r="31">
      <c r="N31">
        <f>((E31*F31*IF(D31="Weekend",1.25,IF(D31="Night",1.5,IF(D31="Bank Holiday",2,1))))+(G31*H31))</f>
        <v/>
      </c>
      <c r="O31">
        <f>(I31*J31)+K31+L31+M31</f>
        <v/>
      </c>
      <c r="P31">
        <f>N31-O31</f>
        <v/>
      </c>
    </row>
    <row r="32">
      <c r="N32">
        <f>((E32*F32*IF(D32="Weekend",1.25,IF(D32="Night",1.5,IF(D32="Bank Holiday",2,1))))+(G32*H32))</f>
        <v/>
      </c>
      <c r="O32">
        <f>(I32*J32)+K32+L32+M32</f>
        <v/>
      </c>
      <c r="P32">
        <f>N32-O32</f>
        <v/>
      </c>
    </row>
    <row r="33">
      <c r="N33">
        <f>((E33*F33*IF(D33="Weekend",1.25,IF(D33="Night",1.5,IF(D33="Bank Holiday",2,1))))+(G33*H33))</f>
        <v/>
      </c>
      <c r="O33">
        <f>(I33*J33)+K33+L33+M33</f>
        <v/>
      </c>
      <c r="P33">
        <f>N33-O33</f>
        <v/>
      </c>
    </row>
    <row r="34">
      <c r="N34">
        <f>((E34*F34*IF(D34="Weekend",1.25,IF(D34="Night",1.5,IF(D34="Bank Holiday",2,1))))+(G34*H34))</f>
        <v/>
      </c>
      <c r="O34">
        <f>(I34*J34)+K34+L34+M34</f>
        <v/>
      </c>
      <c r="P34">
        <f>N34-O34</f>
        <v/>
      </c>
    </row>
    <row r="35">
      <c r="N35">
        <f>((E35*F35*IF(D35="Weekend",1.25,IF(D35="Night",1.5,IF(D35="Bank Holiday",2,1))))+(G35*H35))</f>
        <v/>
      </c>
      <c r="O35">
        <f>(I35*J35)+K35+L35+M35</f>
        <v/>
      </c>
      <c r="P35">
        <f>N35-O35</f>
        <v/>
      </c>
    </row>
    <row r="36">
      <c r="N36">
        <f>((E36*F36*IF(D36="Weekend",1.25,IF(D36="Night",1.5,IF(D36="Bank Holiday",2,1))))+(G36*H36))</f>
        <v/>
      </c>
      <c r="O36">
        <f>(I36*J36)+K36+L36+M36</f>
        <v/>
      </c>
      <c r="P36">
        <f>N36-O36</f>
        <v/>
      </c>
    </row>
    <row r="37">
      <c r="N37">
        <f>((E37*F37*IF(D37="Weekend",1.25,IF(D37="Night",1.5,IF(D37="Bank Holiday",2,1))))+(G37*H37))</f>
        <v/>
      </c>
      <c r="O37">
        <f>(I37*J37)+K37+L37+M37</f>
        <v/>
      </c>
      <c r="P37">
        <f>N37-O37</f>
        <v/>
      </c>
    </row>
    <row r="38">
      <c r="N38">
        <f>((E38*F38*IF(D38="Weekend",1.25,IF(D38="Night",1.5,IF(D38="Bank Holiday",2,1))))+(G38*H38))</f>
        <v/>
      </c>
      <c r="O38">
        <f>(I38*J38)+K38+L38+M38</f>
        <v/>
      </c>
      <c r="P38">
        <f>N38-O38</f>
        <v/>
      </c>
    </row>
    <row r="39">
      <c r="N39">
        <f>((E39*F39*IF(D39="Weekend",1.25,IF(D39="Night",1.5,IF(D39="Bank Holiday",2,1))))+(G39*H39))</f>
        <v/>
      </c>
      <c r="O39">
        <f>(I39*J39)+K39+L39+M39</f>
        <v/>
      </c>
      <c r="P39">
        <f>N39-O39</f>
        <v/>
      </c>
    </row>
    <row r="40">
      <c r="N40">
        <f>((E40*F40*IF(D40="Weekend",1.25,IF(D40="Night",1.5,IF(D40="Bank Holiday",2,1))))+(G40*H40))</f>
        <v/>
      </c>
      <c r="O40">
        <f>(I40*J40)+K40+L40+M40</f>
        <v/>
      </c>
      <c r="P40">
        <f>N40-O40</f>
        <v/>
      </c>
    </row>
    <row r="41">
      <c r="N41">
        <f>((E41*F41*IF(D41="Weekend",1.25,IF(D41="Night",1.5,IF(D41="Bank Holiday",2,1))))+(G41*H41))</f>
        <v/>
      </c>
      <c r="O41">
        <f>(I41*J41)+K41+L41+M41</f>
        <v/>
      </c>
      <c r="P41">
        <f>N41-O41</f>
        <v/>
      </c>
    </row>
    <row r="42">
      <c r="N42">
        <f>((E42*F42*IF(D42="Weekend",1.25,IF(D42="Night",1.5,IF(D42="Bank Holiday",2,1))))+(G42*H42))</f>
        <v/>
      </c>
      <c r="O42">
        <f>(I42*J42)+K42+L42+M42</f>
        <v/>
      </c>
      <c r="P42">
        <f>N42-O42</f>
        <v/>
      </c>
    </row>
    <row r="43">
      <c r="N43">
        <f>((E43*F43*IF(D43="Weekend",1.25,IF(D43="Night",1.5,IF(D43="Bank Holiday",2,1))))+(G43*H43))</f>
        <v/>
      </c>
      <c r="O43">
        <f>(I43*J43)+K43+L43+M43</f>
        <v/>
      </c>
      <c r="P43">
        <f>N43-O43</f>
        <v/>
      </c>
    </row>
    <row r="44">
      <c r="N44">
        <f>((E44*F44*IF(D44="Weekend",1.25,IF(D44="Night",1.5,IF(D44="Bank Holiday",2,1))))+(G44*H44))</f>
        <v/>
      </c>
      <c r="O44">
        <f>(I44*J44)+K44+L44+M44</f>
        <v/>
      </c>
      <c r="P44">
        <f>N44-O44</f>
        <v/>
      </c>
    </row>
    <row r="45">
      <c r="N45">
        <f>((E45*F45*IF(D45="Weekend",1.25,IF(D45="Night",1.5,IF(D45="Bank Holiday",2,1))))+(G45*H45))</f>
        <v/>
      </c>
      <c r="O45">
        <f>(I45*J45)+K45+L45+M45</f>
        <v/>
      </c>
      <c r="P45">
        <f>N45-O45</f>
        <v/>
      </c>
    </row>
    <row r="46">
      <c r="N46">
        <f>((E46*F46*IF(D46="Weekend",1.25,IF(D46="Night",1.5,IF(D46="Bank Holiday",2,1))))+(G46*H46))</f>
        <v/>
      </c>
      <c r="O46">
        <f>(I46*J46)+K46+L46+M46</f>
        <v/>
      </c>
      <c r="P46">
        <f>N46-O46</f>
        <v/>
      </c>
    </row>
    <row r="47">
      <c r="N47">
        <f>((E47*F47*IF(D47="Weekend",1.25,IF(D47="Night",1.5,IF(D47="Bank Holiday",2,1))))+(G47*H47))</f>
        <v/>
      </c>
      <c r="O47">
        <f>(I47*J47)+K47+L47+M47</f>
        <v/>
      </c>
      <c r="P47">
        <f>N47-O47</f>
        <v/>
      </c>
    </row>
    <row r="48">
      <c r="N48">
        <f>((E48*F48*IF(D48="Weekend",1.25,IF(D48="Night",1.5,IF(D48="Bank Holiday",2,1))))+(G48*H48))</f>
        <v/>
      </c>
      <c r="O48">
        <f>(I48*J48)+K48+L48+M48</f>
        <v/>
      </c>
      <c r="P48">
        <f>N48-O48</f>
        <v/>
      </c>
    </row>
    <row r="49">
      <c r="N49">
        <f>((E49*F49*IF(D49="Weekend",1.25,IF(D49="Night",1.5,IF(D49="Bank Holiday",2,1))))+(G49*H49))</f>
        <v/>
      </c>
      <c r="O49">
        <f>(I49*J49)+K49+L49+M49</f>
        <v/>
      </c>
      <c r="P49">
        <f>N49-O49</f>
        <v/>
      </c>
    </row>
    <row r="50">
      <c r="N50">
        <f>((E50*F50*IF(D50="Weekend",1.25,IF(D50="Night",1.5,IF(D50="Bank Holiday",2,1))))+(G50*H50))</f>
        <v/>
      </c>
      <c r="O50">
        <f>(I50*J50)+K50+L50+M50</f>
        <v/>
      </c>
      <c r="P50">
        <f>N50-O50</f>
        <v/>
      </c>
    </row>
    <row r="51">
      <c r="N51">
        <f>((E51*F51*IF(D51="Weekend",1.25,IF(D51="Night",1.5,IF(D51="Bank Holiday",2,1))))+(G51*H51))</f>
        <v/>
      </c>
      <c r="O51">
        <f>(I51*J51)+K51+L51+M51</f>
        <v/>
      </c>
      <c r="P51">
        <f>N51-O51</f>
        <v/>
      </c>
    </row>
    <row r="52">
      <c r="N52">
        <f>((E52*F52*IF(D52="Weekend",1.25,IF(D52="Night",1.5,IF(D52="Bank Holiday",2,1))))+(G52*H52))</f>
        <v/>
      </c>
      <c r="O52">
        <f>(I52*J52)+K52+L52+M52</f>
        <v/>
      </c>
      <c r="P52">
        <f>N52-O52</f>
        <v/>
      </c>
    </row>
    <row r="53">
      <c r="N53">
        <f>((E53*F53*IF(D53="Weekend",1.25,IF(D53="Night",1.5,IF(D53="Bank Holiday",2,1))))+(G53*H53))</f>
        <v/>
      </c>
      <c r="O53">
        <f>(I53*J53)+K53+L53+M53</f>
        <v/>
      </c>
      <c r="P53">
        <f>N53-O53</f>
        <v/>
      </c>
    </row>
    <row r="54">
      <c r="N54">
        <f>((E54*F54*IF(D54="Weekend",1.25,IF(D54="Night",1.5,IF(D54="Bank Holiday",2,1))))+(G54*H54))</f>
        <v/>
      </c>
      <c r="O54">
        <f>(I54*J54)+K54+L54+M54</f>
        <v/>
      </c>
      <c r="P54">
        <f>N54-O54</f>
        <v/>
      </c>
    </row>
    <row r="55">
      <c r="N55">
        <f>((E55*F55*IF(D55="Weekend",1.25,IF(D55="Night",1.5,IF(D55="Bank Holiday",2,1))))+(G55*H55))</f>
        <v/>
      </c>
      <c r="O55">
        <f>(I55*J55)+K55+L55+M55</f>
        <v/>
      </c>
      <c r="P55">
        <f>N55-O55</f>
        <v/>
      </c>
    </row>
    <row r="56">
      <c r="N56">
        <f>((E56*F56*IF(D56="Weekend",1.25,IF(D56="Night",1.5,IF(D56="Bank Holiday",2,1))))+(G56*H56))</f>
        <v/>
      </c>
      <c r="O56">
        <f>(I56*J56)+K56+L56+M56</f>
        <v/>
      </c>
      <c r="P56">
        <f>N56-O56</f>
        <v/>
      </c>
    </row>
    <row r="57">
      <c r="N57">
        <f>((E57*F57*IF(D57="Weekend",1.25,IF(D57="Night",1.5,IF(D57="Bank Holiday",2,1))))+(G57*H57))</f>
        <v/>
      </c>
      <c r="O57">
        <f>(I57*J57)+K57+L57+M57</f>
        <v/>
      </c>
      <c r="P57">
        <f>N57-O57</f>
        <v/>
      </c>
    </row>
    <row r="58">
      <c r="N58">
        <f>((E58*F58*IF(D58="Weekend",1.25,IF(D58="Night",1.5,IF(D58="Bank Holiday",2,1))))+(G58*H58))</f>
        <v/>
      </c>
      <c r="O58">
        <f>(I58*J58)+K58+L58+M58</f>
        <v/>
      </c>
      <c r="P58">
        <f>N58-O58</f>
        <v/>
      </c>
    </row>
    <row r="59">
      <c r="N59">
        <f>((E59*F59*IF(D59="Weekend",1.25,IF(D59="Night",1.5,IF(D59="Bank Holiday",2,1))))+(G59*H59))</f>
        <v/>
      </c>
      <c r="O59">
        <f>(I59*J59)+K59+L59+M59</f>
        <v/>
      </c>
      <c r="P59">
        <f>N59-O59</f>
        <v/>
      </c>
    </row>
    <row r="60">
      <c r="N60">
        <f>((E60*F60*IF(D60="Weekend",1.25,IF(D60="Night",1.5,IF(D60="Bank Holiday",2,1))))+(G60*H60))</f>
        <v/>
      </c>
      <c r="O60">
        <f>(I60*J60)+K60+L60+M60</f>
        <v/>
      </c>
      <c r="P60">
        <f>N60-O60</f>
        <v/>
      </c>
    </row>
    <row r="61">
      <c r="N61">
        <f>((E61*F61*IF(D61="Weekend",1.25,IF(D61="Night",1.5,IF(D61="Bank Holiday",2,1))))+(G61*H61))</f>
        <v/>
      </c>
      <c r="O61">
        <f>(I61*J61)+K61+L61+M61</f>
        <v/>
      </c>
      <c r="P61">
        <f>N61-O61</f>
        <v/>
      </c>
    </row>
    <row r="62">
      <c r="N62">
        <f>((E62*F62*IF(D62="Weekend",1.25,IF(D62="Night",1.5,IF(D62="Bank Holiday",2,1))))+(G62*H62))</f>
        <v/>
      </c>
      <c r="O62">
        <f>(I62*J62)+K62+L62+M62</f>
        <v/>
      </c>
      <c r="P62">
        <f>N62-O62</f>
        <v/>
      </c>
    </row>
    <row r="63">
      <c r="N63">
        <f>((E63*F63*IF(D63="Weekend",1.25,IF(D63="Night",1.5,IF(D63="Bank Holiday",2,1))))+(G63*H63))</f>
        <v/>
      </c>
      <c r="O63">
        <f>(I63*J63)+K63+L63+M63</f>
        <v/>
      </c>
      <c r="P63">
        <f>N63-O63</f>
        <v/>
      </c>
    </row>
    <row r="64">
      <c r="N64">
        <f>((E64*F64*IF(D64="Weekend",1.25,IF(D64="Night",1.5,IF(D64="Bank Holiday",2,1))))+(G64*H64))</f>
        <v/>
      </c>
      <c r="O64">
        <f>(I64*J64)+K64+L64+M64</f>
        <v/>
      </c>
      <c r="P64">
        <f>N64-O64</f>
        <v/>
      </c>
    </row>
    <row r="65">
      <c r="N65">
        <f>((E65*F65*IF(D65="Weekend",1.25,IF(D65="Night",1.5,IF(D65="Bank Holiday",2,1))))+(G65*H65))</f>
        <v/>
      </c>
      <c r="O65">
        <f>(I65*J65)+K65+L65+M65</f>
        <v/>
      </c>
      <c r="P65">
        <f>N65-O65</f>
        <v/>
      </c>
    </row>
    <row r="66">
      <c r="N66">
        <f>((E66*F66*IF(D66="Weekend",1.25,IF(D66="Night",1.5,IF(D66="Bank Holiday",2,1))))+(G66*H66))</f>
        <v/>
      </c>
      <c r="O66">
        <f>(I66*J66)+K66+L66+M66</f>
        <v/>
      </c>
      <c r="P66">
        <f>N66-O66</f>
        <v/>
      </c>
    </row>
    <row r="67">
      <c r="N67">
        <f>((E67*F67*IF(D67="Weekend",1.25,IF(D67="Night",1.5,IF(D67="Bank Holiday",2,1))))+(G67*H67))</f>
        <v/>
      </c>
      <c r="O67">
        <f>(I67*J67)+K67+L67+M67</f>
        <v/>
      </c>
      <c r="P67">
        <f>N67-O67</f>
        <v/>
      </c>
    </row>
    <row r="68">
      <c r="N68">
        <f>((E68*F68*IF(D68="Weekend",1.25,IF(D68="Night",1.5,IF(D68="Bank Holiday",2,1))))+(G68*H68))</f>
        <v/>
      </c>
      <c r="O68">
        <f>(I68*J68)+K68+L68+M68</f>
        <v/>
      </c>
      <c r="P68">
        <f>N68-O68</f>
        <v/>
      </c>
    </row>
    <row r="69">
      <c r="N69">
        <f>((E69*F69*IF(D69="Weekend",1.25,IF(D69="Night",1.5,IF(D69="Bank Holiday",2,1))))+(G69*H69))</f>
        <v/>
      </c>
      <c r="O69">
        <f>(I69*J69)+K69+L69+M69</f>
        <v/>
      </c>
      <c r="P69">
        <f>N69-O69</f>
        <v/>
      </c>
    </row>
    <row r="70">
      <c r="N70">
        <f>((E70*F70*IF(D70="Weekend",1.25,IF(D70="Night",1.5,IF(D70="Bank Holiday",2,1))))+(G70*H70))</f>
        <v/>
      </c>
      <c r="O70">
        <f>(I70*J70)+K70+L70+M70</f>
        <v/>
      </c>
      <c r="P70">
        <f>N70-O70</f>
        <v/>
      </c>
    </row>
    <row r="71">
      <c r="N71">
        <f>((E71*F71*IF(D71="Weekend",1.25,IF(D71="Night",1.5,IF(D71="Bank Holiday",2,1))))+(G71*H71))</f>
        <v/>
      </c>
      <c r="O71">
        <f>(I71*J71)+K71+L71+M71</f>
        <v/>
      </c>
      <c r="P71">
        <f>N71-O71</f>
        <v/>
      </c>
    </row>
    <row r="72">
      <c r="N72">
        <f>((E72*F72*IF(D72="Weekend",1.25,IF(D72="Night",1.5,IF(D72="Bank Holiday",2,1))))+(G72*H72))</f>
        <v/>
      </c>
      <c r="O72">
        <f>(I72*J72)+K72+L72+M72</f>
        <v/>
      </c>
      <c r="P72">
        <f>N72-O72</f>
        <v/>
      </c>
    </row>
    <row r="73">
      <c r="N73">
        <f>((E73*F73*IF(D73="Weekend",1.25,IF(D73="Night",1.5,IF(D73="Bank Holiday",2,1))))+(G73*H73))</f>
        <v/>
      </c>
      <c r="O73">
        <f>(I73*J73)+K73+L73+M73</f>
        <v/>
      </c>
      <c r="P73">
        <f>N73-O73</f>
        <v/>
      </c>
    </row>
    <row r="74">
      <c r="N74">
        <f>((E74*F74*IF(D74="Weekend",1.25,IF(D74="Night",1.5,IF(D74="Bank Holiday",2,1))))+(G74*H74))</f>
        <v/>
      </c>
      <c r="O74">
        <f>(I74*J74)+K74+L74+M74</f>
        <v/>
      </c>
      <c r="P74">
        <f>N74-O74</f>
        <v/>
      </c>
    </row>
    <row r="75">
      <c r="N75">
        <f>((E75*F75*IF(D75="Weekend",1.25,IF(D75="Night",1.5,IF(D75="Bank Holiday",2,1))))+(G75*H75))</f>
        <v/>
      </c>
      <c r="O75">
        <f>(I75*J75)+K75+L75+M75</f>
        <v/>
      </c>
      <c r="P75">
        <f>N75-O75</f>
        <v/>
      </c>
    </row>
    <row r="76">
      <c r="N76">
        <f>((E76*F76*IF(D76="Weekend",1.25,IF(D76="Night",1.5,IF(D76="Bank Holiday",2,1))))+(G76*H76))</f>
        <v/>
      </c>
      <c r="O76">
        <f>(I76*J76)+K76+L76+M76</f>
        <v/>
      </c>
      <c r="P76">
        <f>N76-O76</f>
        <v/>
      </c>
    </row>
    <row r="77">
      <c r="N77">
        <f>((E77*F77*IF(D77="Weekend",1.25,IF(D77="Night",1.5,IF(D77="Bank Holiday",2,1))))+(G77*H77))</f>
        <v/>
      </c>
      <c r="O77">
        <f>(I77*J77)+K77+L77+M77</f>
        <v/>
      </c>
      <c r="P77">
        <f>N77-O77</f>
        <v/>
      </c>
    </row>
    <row r="78">
      <c r="N78">
        <f>((E78*F78*IF(D78="Weekend",1.25,IF(D78="Night",1.5,IF(D78="Bank Holiday",2,1))))+(G78*H78))</f>
        <v/>
      </c>
      <c r="O78">
        <f>(I78*J78)+K78+L78+M78</f>
        <v/>
      </c>
      <c r="P78">
        <f>N78-O78</f>
        <v/>
      </c>
    </row>
    <row r="79">
      <c r="N79">
        <f>((E79*F79*IF(D79="Weekend",1.25,IF(D79="Night",1.5,IF(D79="Bank Holiday",2,1))))+(G79*H79))</f>
        <v/>
      </c>
      <c r="O79">
        <f>(I79*J79)+K79+L79+M79</f>
        <v/>
      </c>
      <c r="P79">
        <f>N79-O79</f>
        <v/>
      </c>
    </row>
    <row r="80">
      <c r="N80">
        <f>((E80*F80*IF(D80="Weekend",1.25,IF(D80="Night",1.5,IF(D80="Bank Holiday",2,1))))+(G80*H80))</f>
        <v/>
      </c>
      <c r="O80">
        <f>(I80*J80)+K80+L80+M80</f>
        <v/>
      </c>
      <c r="P80">
        <f>N80-O80</f>
        <v/>
      </c>
    </row>
    <row r="81">
      <c r="N81">
        <f>((E81*F81*IF(D81="Weekend",1.25,IF(D81="Night",1.5,IF(D81="Bank Holiday",2,1))))+(G81*H81))</f>
        <v/>
      </c>
      <c r="O81">
        <f>(I81*J81)+K81+L81+M81</f>
        <v/>
      </c>
      <c r="P81">
        <f>N81-O81</f>
        <v/>
      </c>
    </row>
    <row r="82">
      <c r="N82">
        <f>((E82*F82*IF(D82="Weekend",1.25,IF(D82="Night",1.5,IF(D82="Bank Holiday",2,1))))+(G82*H82))</f>
        <v/>
      </c>
      <c r="O82">
        <f>(I82*J82)+K82+L82+M82</f>
        <v/>
      </c>
      <c r="P82">
        <f>N82-O82</f>
        <v/>
      </c>
    </row>
    <row r="83">
      <c r="N83">
        <f>((E83*F83*IF(D83="Weekend",1.25,IF(D83="Night",1.5,IF(D83="Bank Holiday",2,1))))+(G83*H83))</f>
        <v/>
      </c>
      <c r="O83">
        <f>(I83*J83)+K83+L83+M83</f>
        <v/>
      </c>
      <c r="P83">
        <f>N83-O83</f>
        <v/>
      </c>
    </row>
    <row r="84">
      <c r="N84">
        <f>((E84*F84*IF(D84="Weekend",1.25,IF(D84="Night",1.5,IF(D84="Bank Holiday",2,1))))+(G84*H84))</f>
        <v/>
      </c>
      <c r="O84">
        <f>(I84*J84)+K84+L84+M84</f>
        <v/>
      </c>
      <c r="P84">
        <f>N84-O84</f>
        <v/>
      </c>
    </row>
    <row r="85">
      <c r="N85">
        <f>((E85*F85*IF(D85="Weekend",1.25,IF(D85="Night",1.5,IF(D85="Bank Holiday",2,1))))+(G85*H85))</f>
        <v/>
      </c>
      <c r="O85">
        <f>(I85*J85)+K85+L85+M85</f>
        <v/>
      </c>
      <c r="P85">
        <f>N85-O85</f>
        <v/>
      </c>
    </row>
    <row r="86">
      <c r="N86">
        <f>((E86*F86*IF(D86="Weekend",1.25,IF(D86="Night",1.5,IF(D86="Bank Holiday",2,1))))+(G86*H86))</f>
        <v/>
      </c>
      <c r="O86">
        <f>(I86*J86)+K86+L86+M86</f>
        <v/>
      </c>
      <c r="P86">
        <f>N86-O86</f>
        <v/>
      </c>
    </row>
    <row r="87">
      <c r="N87">
        <f>((E87*F87*IF(D87="Weekend",1.25,IF(D87="Night",1.5,IF(D87="Bank Holiday",2,1))))+(G87*H87))</f>
        <v/>
      </c>
      <c r="O87">
        <f>(I87*J87)+K87+L87+M87</f>
        <v/>
      </c>
      <c r="P87">
        <f>N87-O87</f>
        <v/>
      </c>
    </row>
    <row r="88">
      <c r="N88">
        <f>((E88*F88*IF(D88="Weekend",1.25,IF(D88="Night",1.5,IF(D88="Bank Holiday",2,1))))+(G88*H88))</f>
        <v/>
      </c>
      <c r="O88">
        <f>(I88*J88)+K88+L88+M88</f>
        <v/>
      </c>
      <c r="P88">
        <f>N88-O88</f>
        <v/>
      </c>
    </row>
    <row r="89">
      <c r="N89">
        <f>((E89*F89*IF(D89="Weekend",1.25,IF(D89="Night",1.5,IF(D89="Bank Holiday",2,1))))+(G89*H89))</f>
        <v/>
      </c>
      <c r="O89">
        <f>(I89*J89)+K89+L89+M89</f>
        <v/>
      </c>
      <c r="P89">
        <f>N89-O89</f>
        <v/>
      </c>
    </row>
    <row r="90">
      <c r="N90">
        <f>((E90*F90*IF(D90="Weekend",1.25,IF(D90="Night",1.5,IF(D90="Bank Holiday",2,1))))+(G90*H90))</f>
        <v/>
      </c>
      <c r="O90">
        <f>(I90*J90)+K90+L90+M90</f>
        <v/>
      </c>
      <c r="P90">
        <f>N90-O90</f>
        <v/>
      </c>
    </row>
    <row r="91">
      <c r="N91">
        <f>((E91*F91*IF(D91="Weekend",1.25,IF(D91="Night",1.5,IF(D91="Bank Holiday",2,1))))+(G91*H91))</f>
        <v/>
      </c>
      <c r="O91">
        <f>(I91*J91)+K91+L91+M91</f>
        <v/>
      </c>
      <c r="P91">
        <f>N91-O91</f>
        <v/>
      </c>
    </row>
    <row r="92">
      <c r="N92">
        <f>((E92*F92*IF(D92="Weekend",1.25,IF(D92="Night",1.5,IF(D92="Bank Holiday",2,1))))+(G92*H92))</f>
        <v/>
      </c>
      <c r="O92">
        <f>(I92*J92)+K92+L92+M92</f>
        <v/>
      </c>
      <c r="P92">
        <f>N92-O92</f>
        <v/>
      </c>
    </row>
    <row r="93">
      <c r="N93">
        <f>((E93*F93*IF(D93="Weekend",1.25,IF(D93="Night",1.5,IF(D93="Bank Holiday",2,1))))+(G93*H93))</f>
        <v/>
      </c>
      <c r="O93">
        <f>(I93*J93)+K93+L93+M93</f>
        <v/>
      </c>
      <c r="P93">
        <f>N93-O93</f>
        <v/>
      </c>
    </row>
    <row r="94">
      <c r="N94">
        <f>((E94*F94*IF(D94="Weekend",1.25,IF(D94="Night",1.5,IF(D94="Bank Holiday",2,1))))+(G94*H94))</f>
        <v/>
      </c>
      <c r="O94">
        <f>(I94*J94)+K94+L94+M94</f>
        <v/>
      </c>
      <c r="P94">
        <f>N94-O94</f>
        <v/>
      </c>
    </row>
    <row r="95">
      <c r="N95">
        <f>((E95*F95*IF(D95="Weekend",1.25,IF(D95="Night",1.5,IF(D95="Bank Holiday",2,1))))+(G95*H95))</f>
        <v/>
      </c>
      <c r="O95">
        <f>(I95*J95)+K95+L95+M95</f>
        <v/>
      </c>
      <c r="P95">
        <f>N95-O95</f>
        <v/>
      </c>
    </row>
    <row r="96">
      <c r="N96">
        <f>((E96*F96*IF(D96="Weekend",1.25,IF(D96="Night",1.5,IF(D96="Bank Holiday",2,1))))+(G96*H96))</f>
        <v/>
      </c>
      <c r="O96">
        <f>(I96*J96)+K96+L96+M96</f>
        <v/>
      </c>
      <c r="P96">
        <f>N96-O96</f>
        <v/>
      </c>
    </row>
    <row r="97">
      <c r="N97">
        <f>((E97*F97*IF(D97="Weekend",1.25,IF(D97="Night",1.5,IF(D97="Bank Holiday",2,1))))+(G97*H97))</f>
        <v/>
      </c>
      <c r="O97">
        <f>(I97*J97)+K97+L97+M97</f>
        <v/>
      </c>
      <c r="P97">
        <f>N97-O97</f>
        <v/>
      </c>
    </row>
    <row r="98">
      <c r="N98">
        <f>((E98*F98*IF(D98="Weekend",1.25,IF(D98="Night",1.5,IF(D98="Bank Holiday",2,1))))+(G98*H98))</f>
        <v/>
      </c>
      <c r="O98">
        <f>(I98*J98)+K98+L98+M98</f>
        <v/>
      </c>
      <c r="P98">
        <f>N98-O98</f>
        <v/>
      </c>
    </row>
    <row r="99">
      <c r="N99">
        <f>((E99*F99*IF(D99="Weekend",1.25,IF(D99="Night",1.5,IF(D99="Bank Holiday",2,1))))+(G99*H99))</f>
        <v/>
      </c>
      <c r="O99">
        <f>(I99*J99)+K99+L99+M99</f>
        <v/>
      </c>
      <c r="P99">
        <f>N99-O99</f>
        <v/>
      </c>
    </row>
    <row r="100">
      <c r="N100">
        <f>((E100*F100*IF(D100="Weekend",1.25,IF(D100="Night",1.5,IF(D100="Bank Holiday",2,1))))+(G100*H100))</f>
        <v/>
      </c>
      <c r="O100">
        <f>(I100*J100)+K100+L100+M100</f>
        <v/>
      </c>
      <c r="P100">
        <f>N100-O100</f>
        <v/>
      </c>
    </row>
    <row r="101">
      <c r="N101">
        <f>((E101*F101*IF(D101="Weekend",1.25,IF(D101="Night",1.5,IF(D101="Bank Holiday",2,1))))+(G101*H101))</f>
        <v/>
      </c>
      <c r="O101">
        <f>(I101*J101)+K101+L101+M101</f>
        <v/>
      </c>
      <c r="P101">
        <f>N101-O101</f>
        <v/>
      </c>
    </row>
    <row r="102">
      <c r="N102">
        <f>((E102*F102*IF(D102="Weekend",1.25,IF(D102="Night",1.5,IF(D102="Bank Holiday",2,1))))+(G102*H102))</f>
        <v/>
      </c>
      <c r="O102">
        <f>(I102*J102)+K102+L102+M102</f>
        <v/>
      </c>
      <c r="P102">
        <f>N102-O102</f>
        <v/>
      </c>
    </row>
    <row r="103">
      <c r="N103">
        <f>((E103*F103*IF(D103="Weekend",1.25,IF(D103="Night",1.5,IF(D103="Bank Holiday",2,1))))+(G103*H103))</f>
        <v/>
      </c>
      <c r="O103">
        <f>(I103*J103)+K103+L103+M103</f>
        <v/>
      </c>
      <c r="P103">
        <f>N103-O103</f>
        <v/>
      </c>
    </row>
    <row r="104">
      <c r="N104">
        <f>((E104*F104*IF(D104="Weekend",1.25,IF(D104="Night",1.5,IF(D104="Bank Holiday",2,1))))+(G104*H104))</f>
        <v/>
      </c>
      <c r="O104">
        <f>(I104*J104)+K104+L104+M104</f>
        <v/>
      </c>
      <c r="P104">
        <f>N104-O104</f>
        <v/>
      </c>
    </row>
    <row r="105">
      <c r="N105">
        <f>((E105*F105*IF(D105="Weekend",1.25,IF(D105="Night",1.5,IF(D105="Bank Holiday",2,1))))+(G105*H105))</f>
        <v/>
      </c>
      <c r="O105">
        <f>(I105*J105)+K105+L105+M105</f>
        <v/>
      </c>
      <c r="P105">
        <f>N105-O105</f>
        <v/>
      </c>
    </row>
    <row r="106">
      <c r="N106">
        <f>((E106*F106*IF(D106="Weekend",1.25,IF(D106="Night",1.5,IF(D106="Bank Holiday",2,1))))+(G106*H106))</f>
        <v/>
      </c>
      <c r="O106">
        <f>(I106*J106)+K106+L106+M106</f>
        <v/>
      </c>
      <c r="P106">
        <f>N106-O106</f>
        <v/>
      </c>
    </row>
    <row r="107">
      <c r="N107">
        <f>((E107*F107*IF(D107="Weekend",1.25,IF(D107="Night",1.5,IF(D107="Bank Holiday",2,1))))+(G107*H107))</f>
        <v/>
      </c>
      <c r="O107">
        <f>(I107*J107)+K107+L107+M107</f>
        <v/>
      </c>
      <c r="P107">
        <f>N107-O107</f>
        <v/>
      </c>
    </row>
    <row r="108">
      <c r="N108">
        <f>((E108*F108*IF(D108="Weekend",1.25,IF(D108="Night",1.5,IF(D108="Bank Holiday",2,1))))+(G108*H108))</f>
        <v/>
      </c>
      <c r="O108">
        <f>(I108*J108)+K108+L108+M108</f>
        <v/>
      </c>
      <c r="P108">
        <f>N108-O108</f>
        <v/>
      </c>
    </row>
    <row r="109">
      <c r="N109">
        <f>((E109*F109*IF(D109="Weekend",1.25,IF(D109="Night",1.5,IF(D109="Bank Holiday",2,1))))+(G109*H109))</f>
        <v/>
      </c>
      <c r="O109">
        <f>(I109*J109)+K109+L109+M109</f>
        <v/>
      </c>
      <c r="P109">
        <f>N109-O109</f>
        <v/>
      </c>
    </row>
    <row r="110">
      <c r="N110">
        <f>((E110*F110*IF(D110="Weekend",1.25,IF(D110="Night",1.5,IF(D110="Bank Holiday",2,1))))+(G110*H110))</f>
        <v/>
      </c>
      <c r="O110">
        <f>(I110*J110)+K110+L110+M110</f>
        <v/>
      </c>
      <c r="P110">
        <f>N110-O110</f>
        <v/>
      </c>
    </row>
    <row r="111">
      <c r="N111">
        <f>((E111*F111*IF(D111="Weekend",1.25,IF(D111="Night",1.5,IF(D111="Bank Holiday",2,1))))+(G111*H111))</f>
        <v/>
      </c>
      <c r="O111">
        <f>(I111*J111)+K111+L111+M111</f>
        <v/>
      </c>
      <c r="P111">
        <f>N111-O111</f>
        <v/>
      </c>
    </row>
    <row r="112">
      <c r="N112">
        <f>((E112*F112*IF(D112="Weekend",1.25,IF(D112="Night",1.5,IF(D112="Bank Holiday",2,1))))+(G112*H112))</f>
        <v/>
      </c>
      <c r="O112">
        <f>(I112*J112)+K112+L112+M112</f>
        <v/>
      </c>
      <c r="P112">
        <f>N112-O112</f>
        <v/>
      </c>
    </row>
    <row r="113">
      <c r="N113">
        <f>((E113*F113*IF(D113="Weekend",1.25,IF(D113="Night",1.5,IF(D113="Bank Holiday",2,1))))+(G113*H113))</f>
        <v/>
      </c>
      <c r="O113">
        <f>(I113*J113)+K113+L113+M113</f>
        <v/>
      </c>
      <c r="P113">
        <f>N113-O113</f>
        <v/>
      </c>
    </row>
    <row r="114">
      <c r="N114">
        <f>((E114*F114*IF(D114="Weekend",1.25,IF(D114="Night",1.5,IF(D114="Bank Holiday",2,1))))+(G114*H114))</f>
        <v/>
      </c>
      <c r="O114">
        <f>(I114*J114)+K114+L114+M114</f>
        <v/>
      </c>
      <c r="P114">
        <f>N114-O114</f>
        <v/>
      </c>
    </row>
    <row r="115">
      <c r="N115">
        <f>((E115*F115*IF(D115="Weekend",1.25,IF(D115="Night",1.5,IF(D115="Bank Holiday",2,1))))+(G115*H115))</f>
        <v/>
      </c>
      <c r="O115">
        <f>(I115*J115)+K115+L115+M115</f>
        <v/>
      </c>
      <c r="P115">
        <f>N115-O115</f>
        <v/>
      </c>
    </row>
    <row r="116">
      <c r="N116">
        <f>((E116*F116*IF(D116="Weekend",1.25,IF(D116="Night",1.5,IF(D116="Bank Holiday",2,1))))+(G116*H116))</f>
        <v/>
      </c>
      <c r="O116">
        <f>(I116*J116)+K116+L116+M116</f>
        <v/>
      </c>
      <c r="P116">
        <f>N116-O116</f>
        <v/>
      </c>
    </row>
    <row r="117">
      <c r="N117">
        <f>((E117*F117*IF(D117="Weekend",1.25,IF(D117="Night",1.5,IF(D117="Bank Holiday",2,1))))+(G117*H117))</f>
        <v/>
      </c>
      <c r="O117">
        <f>(I117*J117)+K117+L117+M117</f>
        <v/>
      </c>
      <c r="P117">
        <f>N117-O117</f>
        <v/>
      </c>
    </row>
    <row r="118">
      <c r="N118">
        <f>((E118*F118*IF(D118="Weekend",1.25,IF(D118="Night",1.5,IF(D118="Bank Holiday",2,1))))+(G118*H118))</f>
        <v/>
      </c>
      <c r="O118">
        <f>(I118*J118)+K118+L118+M118</f>
        <v/>
      </c>
      <c r="P118">
        <f>N118-O118</f>
        <v/>
      </c>
    </row>
    <row r="119">
      <c r="N119">
        <f>((E119*F119*IF(D119="Weekend",1.25,IF(D119="Night",1.5,IF(D119="Bank Holiday",2,1))))+(G119*H119))</f>
        <v/>
      </c>
      <c r="O119">
        <f>(I119*J119)+K119+L119+M119</f>
        <v/>
      </c>
      <c r="P119">
        <f>N119-O119</f>
        <v/>
      </c>
    </row>
    <row r="120">
      <c r="N120">
        <f>((E120*F120*IF(D120="Weekend",1.25,IF(D120="Night",1.5,IF(D120="Bank Holiday",2,1))))+(G120*H120))</f>
        <v/>
      </c>
      <c r="O120">
        <f>(I120*J120)+K120+L120+M120</f>
        <v/>
      </c>
      <c r="P120">
        <f>N120-O120</f>
        <v/>
      </c>
    </row>
    <row r="121">
      <c r="N121">
        <f>((E121*F121*IF(D121="Weekend",1.25,IF(D121="Night",1.5,IF(D121="Bank Holiday",2,1))))+(G121*H121))</f>
        <v/>
      </c>
      <c r="O121">
        <f>(I121*J121)+K121+L121+M121</f>
        <v/>
      </c>
      <c r="P121">
        <f>N121-O121</f>
        <v/>
      </c>
    </row>
    <row r="122">
      <c r="N122">
        <f>((E122*F122*IF(D122="Weekend",1.25,IF(D122="Night",1.5,IF(D122="Bank Holiday",2,1))))+(G122*H122))</f>
        <v/>
      </c>
      <c r="O122">
        <f>(I122*J122)+K122+L122+M122</f>
        <v/>
      </c>
      <c r="P122">
        <f>N122-O122</f>
        <v/>
      </c>
    </row>
    <row r="123">
      <c r="N123">
        <f>((E123*F123*IF(D123="Weekend",1.25,IF(D123="Night",1.5,IF(D123="Bank Holiday",2,1))))+(G123*H123))</f>
        <v/>
      </c>
      <c r="O123">
        <f>(I123*J123)+K123+L123+M123</f>
        <v/>
      </c>
      <c r="P123">
        <f>N123-O123</f>
        <v/>
      </c>
    </row>
    <row r="124">
      <c r="N124">
        <f>((E124*F124*IF(D124="Weekend",1.25,IF(D124="Night",1.5,IF(D124="Bank Holiday",2,1))))+(G124*H124))</f>
        <v/>
      </c>
      <c r="O124">
        <f>(I124*J124)+K124+L124+M124</f>
        <v/>
      </c>
      <c r="P124">
        <f>N124-O124</f>
        <v/>
      </c>
    </row>
    <row r="125">
      <c r="N125">
        <f>((E125*F125*IF(D125="Weekend",1.25,IF(D125="Night",1.5,IF(D125="Bank Holiday",2,1))))+(G125*H125))</f>
        <v/>
      </c>
      <c r="O125">
        <f>(I125*J125)+K125+L125+M125</f>
        <v/>
      </c>
      <c r="P125">
        <f>N125-O125</f>
        <v/>
      </c>
    </row>
    <row r="126">
      <c r="N126">
        <f>((E126*F126*IF(D126="Weekend",1.25,IF(D126="Night",1.5,IF(D126="Bank Holiday",2,1))))+(G126*H126))</f>
        <v/>
      </c>
      <c r="O126">
        <f>(I126*J126)+K126+L126+M126</f>
        <v/>
      </c>
      <c r="P126">
        <f>N126-O126</f>
        <v/>
      </c>
    </row>
    <row r="127">
      <c r="N127">
        <f>((E127*F127*IF(D127="Weekend",1.25,IF(D127="Night",1.5,IF(D127="Bank Holiday",2,1))))+(G127*H127))</f>
        <v/>
      </c>
      <c r="O127">
        <f>(I127*J127)+K127+L127+M127</f>
        <v/>
      </c>
      <c r="P127">
        <f>N127-O127</f>
        <v/>
      </c>
    </row>
    <row r="128">
      <c r="N128">
        <f>((E128*F128*IF(D128="Weekend",1.25,IF(D128="Night",1.5,IF(D128="Bank Holiday",2,1))))+(G128*H128))</f>
        <v/>
      </c>
      <c r="O128">
        <f>(I128*J128)+K128+L128+M128</f>
        <v/>
      </c>
      <c r="P128">
        <f>N128-O128</f>
        <v/>
      </c>
    </row>
    <row r="129">
      <c r="N129">
        <f>((E129*F129*IF(D129="Weekend",1.25,IF(D129="Night",1.5,IF(D129="Bank Holiday",2,1))))+(G129*H129))</f>
        <v/>
      </c>
      <c r="O129">
        <f>(I129*J129)+K129+L129+M129</f>
        <v/>
      </c>
      <c r="P129">
        <f>N129-O129</f>
        <v/>
      </c>
    </row>
    <row r="130">
      <c r="N130">
        <f>((E130*F130*IF(D130="Weekend",1.25,IF(D130="Night",1.5,IF(D130="Bank Holiday",2,1))))+(G130*H130))</f>
        <v/>
      </c>
      <c r="O130">
        <f>(I130*J130)+K130+L130+M130</f>
        <v/>
      </c>
      <c r="P130">
        <f>N130-O130</f>
        <v/>
      </c>
    </row>
    <row r="131">
      <c r="N131">
        <f>((E131*F131*IF(D131="Weekend",1.25,IF(D131="Night",1.5,IF(D131="Bank Holiday",2,1))))+(G131*H131))</f>
        <v/>
      </c>
      <c r="O131">
        <f>(I131*J131)+K131+L131+M131</f>
        <v/>
      </c>
      <c r="P131">
        <f>N131-O131</f>
        <v/>
      </c>
    </row>
    <row r="132">
      <c r="N132">
        <f>((E132*F132*IF(D132="Weekend",1.25,IF(D132="Night",1.5,IF(D132="Bank Holiday",2,1))))+(G132*H132))</f>
        <v/>
      </c>
      <c r="O132">
        <f>(I132*J132)+K132+L132+M132</f>
        <v/>
      </c>
      <c r="P132">
        <f>N132-O132</f>
        <v/>
      </c>
    </row>
    <row r="133">
      <c r="N133">
        <f>((E133*F133*IF(D133="Weekend",1.25,IF(D133="Night",1.5,IF(D133="Bank Holiday",2,1))))+(G133*H133))</f>
        <v/>
      </c>
      <c r="O133">
        <f>(I133*J133)+K133+L133+M133</f>
        <v/>
      </c>
      <c r="P133">
        <f>N133-O133</f>
        <v/>
      </c>
    </row>
    <row r="134">
      <c r="N134">
        <f>((E134*F134*IF(D134="Weekend",1.25,IF(D134="Night",1.5,IF(D134="Bank Holiday",2,1))))+(G134*H134))</f>
        <v/>
      </c>
      <c r="O134">
        <f>(I134*J134)+K134+L134+M134</f>
        <v/>
      </c>
      <c r="P134">
        <f>N134-O134</f>
        <v/>
      </c>
    </row>
    <row r="135">
      <c r="N135">
        <f>((E135*F135*IF(D135="Weekend",1.25,IF(D135="Night",1.5,IF(D135="Bank Holiday",2,1))))+(G135*H135))</f>
        <v/>
      </c>
      <c r="O135">
        <f>(I135*J135)+K135+L135+M135</f>
        <v/>
      </c>
      <c r="P135">
        <f>N135-O135</f>
        <v/>
      </c>
    </row>
    <row r="136">
      <c r="N136">
        <f>((E136*F136*IF(D136="Weekend",1.25,IF(D136="Night",1.5,IF(D136="Bank Holiday",2,1))))+(G136*H136))</f>
        <v/>
      </c>
      <c r="O136">
        <f>(I136*J136)+K136+L136+M136</f>
        <v/>
      </c>
      <c r="P136">
        <f>N136-O136</f>
        <v/>
      </c>
    </row>
    <row r="137">
      <c r="N137">
        <f>((E137*F137*IF(D137="Weekend",1.25,IF(D137="Night",1.5,IF(D137="Bank Holiday",2,1))))+(G137*H137))</f>
        <v/>
      </c>
      <c r="O137">
        <f>(I137*J137)+K137+L137+M137</f>
        <v/>
      </c>
      <c r="P137">
        <f>N137-O137</f>
        <v/>
      </c>
    </row>
    <row r="138">
      <c r="N138">
        <f>((E138*F138*IF(D138="Weekend",1.25,IF(D138="Night",1.5,IF(D138="Bank Holiday",2,1))))+(G138*H138))</f>
        <v/>
      </c>
      <c r="O138">
        <f>(I138*J138)+K138+L138+M138</f>
        <v/>
      </c>
      <c r="P138">
        <f>N138-O138</f>
        <v/>
      </c>
    </row>
    <row r="139">
      <c r="N139">
        <f>((E139*F139*IF(D139="Weekend",1.25,IF(D139="Night",1.5,IF(D139="Bank Holiday",2,1))))+(G139*H139))</f>
        <v/>
      </c>
      <c r="O139">
        <f>(I139*J139)+K139+L139+M139</f>
        <v/>
      </c>
      <c r="P139">
        <f>N139-O139</f>
        <v/>
      </c>
    </row>
    <row r="140">
      <c r="N140">
        <f>((E140*F140*IF(D140="Weekend",1.25,IF(D140="Night",1.5,IF(D140="Bank Holiday",2,1))))+(G140*H140))</f>
        <v/>
      </c>
      <c r="O140">
        <f>(I140*J140)+K140+L140+M140</f>
        <v/>
      </c>
      <c r="P140">
        <f>N140-O140</f>
        <v/>
      </c>
    </row>
    <row r="141">
      <c r="N141">
        <f>((E141*F141*IF(D141="Weekend",1.25,IF(D141="Night",1.5,IF(D141="Bank Holiday",2,1))))+(G141*H141))</f>
        <v/>
      </c>
      <c r="O141">
        <f>(I141*J141)+K141+L141+M141</f>
        <v/>
      </c>
      <c r="P141">
        <f>N141-O141</f>
        <v/>
      </c>
    </row>
    <row r="142">
      <c r="N142">
        <f>((E142*F142*IF(D142="Weekend",1.25,IF(D142="Night",1.5,IF(D142="Bank Holiday",2,1))))+(G142*H142))</f>
        <v/>
      </c>
      <c r="O142">
        <f>(I142*J142)+K142+L142+M142</f>
        <v/>
      </c>
      <c r="P142">
        <f>N142-O142</f>
        <v/>
      </c>
    </row>
    <row r="143">
      <c r="N143">
        <f>((E143*F143*IF(D143="Weekend",1.25,IF(D143="Night",1.5,IF(D143="Bank Holiday",2,1))))+(G143*H143))</f>
        <v/>
      </c>
      <c r="O143">
        <f>(I143*J143)+K143+L143+M143</f>
        <v/>
      </c>
      <c r="P143">
        <f>N143-O143</f>
        <v/>
      </c>
    </row>
    <row r="144">
      <c r="N144">
        <f>((E144*F144*IF(D144="Weekend",1.25,IF(D144="Night",1.5,IF(D144="Bank Holiday",2,1))))+(G144*H144))</f>
        <v/>
      </c>
      <c r="O144">
        <f>(I144*J144)+K144+L144+M144</f>
        <v/>
      </c>
      <c r="P144">
        <f>N144-O144</f>
        <v/>
      </c>
    </row>
    <row r="145">
      <c r="N145">
        <f>((E145*F145*IF(D145="Weekend",1.25,IF(D145="Night",1.5,IF(D145="Bank Holiday",2,1))))+(G145*H145))</f>
        <v/>
      </c>
      <c r="O145">
        <f>(I145*J145)+K145+L145+M145</f>
        <v/>
      </c>
      <c r="P145">
        <f>N145-O145</f>
        <v/>
      </c>
    </row>
    <row r="146">
      <c r="N146">
        <f>((E146*F146*IF(D146="Weekend",1.25,IF(D146="Night",1.5,IF(D146="Bank Holiday",2,1))))+(G146*H146))</f>
        <v/>
      </c>
      <c r="O146">
        <f>(I146*J146)+K146+L146+M146</f>
        <v/>
      </c>
      <c r="P146">
        <f>N146-O146</f>
        <v/>
      </c>
    </row>
    <row r="147">
      <c r="N147">
        <f>((E147*F147*IF(D147="Weekend",1.25,IF(D147="Night",1.5,IF(D147="Bank Holiday",2,1))))+(G147*H147))</f>
        <v/>
      </c>
      <c r="O147">
        <f>(I147*J147)+K147+L147+M147</f>
        <v/>
      </c>
      <c r="P147">
        <f>N147-O147</f>
        <v/>
      </c>
    </row>
    <row r="148">
      <c r="N148">
        <f>((E148*F148*IF(D148="Weekend",1.25,IF(D148="Night",1.5,IF(D148="Bank Holiday",2,1))))+(G148*H148))</f>
        <v/>
      </c>
      <c r="O148">
        <f>(I148*J148)+K148+L148+M148</f>
        <v/>
      </c>
      <c r="P148">
        <f>N148-O148</f>
        <v/>
      </c>
    </row>
    <row r="149">
      <c r="N149">
        <f>((E149*F149*IF(D149="Weekend",1.25,IF(D149="Night",1.5,IF(D149="Bank Holiday",2,1))))+(G149*H149))</f>
        <v/>
      </c>
      <c r="O149">
        <f>(I149*J149)+K149+L149+M149</f>
        <v/>
      </c>
      <c r="P149">
        <f>N149-O149</f>
        <v/>
      </c>
    </row>
    <row r="150">
      <c r="N150">
        <f>((E150*F150*IF(D150="Weekend",1.25,IF(D150="Night",1.5,IF(D150="Bank Holiday",2,1))))+(G150*H150))</f>
        <v/>
      </c>
      <c r="O150">
        <f>(I150*J150)+K150+L150+M150</f>
        <v/>
      </c>
      <c r="P150">
        <f>N150-O150</f>
        <v/>
      </c>
    </row>
    <row r="151">
      <c r="N151">
        <f>((E151*F151*IF(D151="Weekend",1.25,IF(D151="Night",1.5,IF(D151="Bank Holiday",2,1))))+(G151*H151))</f>
        <v/>
      </c>
      <c r="O151">
        <f>(I151*J151)+K151+L151+M151</f>
        <v/>
      </c>
      <c r="P151">
        <f>N151-O151</f>
        <v/>
      </c>
    </row>
    <row r="152">
      <c r="N152">
        <f>((E152*F152*IF(D152="Weekend",1.25,IF(D152="Night",1.5,IF(D152="Bank Holiday",2,1))))+(G152*H152))</f>
        <v/>
      </c>
      <c r="O152">
        <f>(I152*J152)+K152+L152+M152</f>
        <v/>
      </c>
      <c r="P152">
        <f>N152-O152</f>
        <v/>
      </c>
    </row>
    <row r="153">
      <c r="N153">
        <f>((E153*F153*IF(D153="Weekend",1.25,IF(D153="Night",1.5,IF(D153="Bank Holiday",2,1))))+(G153*H153))</f>
        <v/>
      </c>
      <c r="O153">
        <f>(I153*J153)+K153+L153+M153</f>
        <v/>
      </c>
      <c r="P153">
        <f>N153-O153</f>
        <v/>
      </c>
    </row>
    <row r="154">
      <c r="N154">
        <f>((E154*F154*IF(D154="Weekend",1.25,IF(D154="Night",1.5,IF(D154="Bank Holiday",2,1))))+(G154*H154))</f>
        <v/>
      </c>
      <c r="O154">
        <f>(I154*J154)+K154+L154+M154</f>
        <v/>
      </c>
      <c r="P154">
        <f>N154-O154</f>
        <v/>
      </c>
    </row>
    <row r="155">
      <c r="N155">
        <f>((E155*F155*IF(D155="Weekend",1.25,IF(D155="Night",1.5,IF(D155="Bank Holiday",2,1))))+(G155*H155))</f>
        <v/>
      </c>
      <c r="O155">
        <f>(I155*J155)+K155+L155+M155</f>
        <v/>
      </c>
      <c r="P155">
        <f>N155-O155</f>
        <v/>
      </c>
    </row>
    <row r="156">
      <c r="N156">
        <f>((E156*F156*IF(D156="Weekend",1.25,IF(D156="Night",1.5,IF(D156="Bank Holiday",2,1))))+(G156*H156))</f>
        <v/>
      </c>
      <c r="O156">
        <f>(I156*J156)+K156+L156+M156</f>
        <v/>
      </c>
      <c r="P156">
        <f>N156-O156</f>
        <v/>
      </c>
    </row>
    <row r="157">
      <c r="N157">
        <f>((E157*F157*IF(D157="Weekend",1.25,IF(D157="Night",1.5,IF(D157="Bank Holiday",2,1))))+(G157*H157))</f>
        <v/>
      </c>
      <c r="O157">
        <f>(I157*J157)+K157+L157+M157</f>
        <v/>
      </c>
      <c r="P157">
        <f>N157-O157</f>
        <v/>
      </c>
    </row>
    <row r="158">
      <c r="N158">
        <f>((E158*F158*IF(D158="Weekend",1.25,IF(D158="Night",1.5,IF(D158="Bank Holiday",2,1))))+(G158*H158))</f>
        <v/>
      </c>
      <c r="O158">
        <f>(I158*J158)+K158+L158+M158</f>
        <v/>
      </c>
      <c r="P158">
        <f>N158-O158</f>
        <v/>
      </c>
    </row>
    <row r="159">
      <c r="N159">
        <f>((E159*F159*IF(D159="Weekend",1.25,IF(D159="Night",1.5,IF(D159="Bank Holiday",2,1))))+(G159*H159))</f>
        <v/>
      </c>
      <c r="O159">
        <f>(I159*J159)+K159+L159+M159</f>
        <v/>
      </c>
      <c r="P159">
        <f>N159-O159</f>
        <v/>
      </c>
    </row>
    <row r="160">
      <c r="N160">
        <f>((E160*F160*IF(D160="Weekend",1.25,IF(D160="Night",1.5,IF(D160="Bank Holiday",2,1))))+(G160*H160))</f>
        <v/>
      </c>
      <c r="O160">
        <f>(I160*J160)+K160+L160+M160</f>
        <v/>
      </c>
      <c r="P160">
        <f>N160-O160</f>
        <v/>
      </c>
    </row>
    <row r="161">
      <c r="N161">
        <f>((E161*F161*IF(D161="Weekend",1.25,IF(D161="Night",1.5,IF(D161="Bank Holiday",2,1))))+(G161*H161))</f>
        <v/>
      </c>
      <c r="O161">
        <f>(I161*J161)+K161+L161+M161</f>
        <v/>
      </c>
      <c r="P161">
        <f>N161-O161</f>
        <v/>
      </c>
    </row>
    <row r="162">
      <c r="N162">
        <f>((E162*F162*IF(D162="Weekend",1.25,IF(D162="Night",1.5,IF(D162="Bank Holiday",2,1))))+(G162*H162))</f>
        <v/>
      </c>
      <c r="O162">
        <f>(I162*J162)+K162+L162+M162</f>
        <v/>
      </c>
      <c r="P162">
        <f>N162-O162</f>
        <v/>
      </c>
    </row>
    <row r="163">
      <c r="N163">
        <f>((E163*F163*IF(D163="Weekend",1.25,IF(D163="Night",1.5,IF(D163="Bank Holiday",2,1))))+(G163*H163))</f>
        <v/>
      </c>
      <c r="O163">
        <f>(I163*J163)+K163+L163+M163</f>
        <v/>
      </c>
      <c r="P163">
        <f>N163-O163</f>
        <v/>
      </c>
    </row>
    <row r="164">
      <c r="N164">
        <f>((E164*F164*IF(D164="Weekend",1.25,IF(D164="Night",1.5,IF(D164="Bank Holiday",2,1))))+(G164*H164))</f>
        <v/>
      </c>
      <c r="O164">
        <f>(I164*J164)+K164+L164+M164</f>
        <v/>
      </c>
      <c r="P164">
        <f>N164-O164</f>
        <v/>
      </c>
    </row>
    <row r="165">
      <c r="N165">
        <f>((E165*F165*IF(D165="Weekend",1.25,IF(D165="Night",1.5,IF(D165="Bank Holiday",2,1))))+(G165*H165))</f>
        <v/>
      </c>
      <c r="O165">
        <f>(I165*J165)+K165+L165+M165</f>
        <v/>
      </c>
      <c r="P165">
        <f>N165-O165</f>
        <v/>
      </c>
    </row>
    <row r="166">
      <c r="N166">
        <f>((E166*F166*IF(D166="Weekend",1.25,IF(D166="Night",1.5,IF(D166="Bank Holiday",2,1))))+(G166*H166))</f>
        <v/>
      </c>
      <c r="O166">
        <f>(I166*J166)+K166+L166+M166</f>
        <v/>
      </c>
      <c r="P166">
        <f>N166-O166</f>
        <v/>
      </c>
    </row>
    <row r="167">
      <c r="N167">
        <f>((E167*F167*IF(D167="Weekend",1.25,IF(D167="Night",1.5,IF(D167="Bank Holiday",2,1))))+(G167*H167))</f>
        <v/>
      </c>
      <c r="O167">
        <f>(I167*J167)+K167+L167+M167</f>
        <v/>
      </c>
      <c r="P167">
        <f>N167-O167</f>
        <v/>
      </c>
    </row>
    <row r="168">
      <c r="N168">
        <f>((E168*F168*IF(D168="Weekend",1.25,IF(D168="Night",1.5,IF(D168="Bank Holiday",2,1))))+(G168*H168))</f>
        <v/>
      </c>
      <c r="O168">
        <f>(I168*J168)+K168+L168+M168</f>
        <v/>
      </c>
      <c r="P168">
        <f>N168-O168</f>
        <v/>
      </c>
    </row>
    <row r="169">
      <c r="N169">
        <f>((E169*F169*IF(D169="Weekend",1.25,IF(D169="Night",1.5,IF(D169="Bank Holiday",2,1))))+(G169*H169))</f>
        <v/>
      </c>
      <c r="O169">
        <f>(I169*J169)+K169+L169+M169</f>
        <v/>
      </c>
      <c r="P169">
        <f>N169-O169</f>
        <v/>
      </c>
    </row>
    <row r="170">
      <c r="N170">
        <f>((E170*F170*IF(D170="Weekend",1.25,IF(D170="Night",1.5,IF(D170="Bank Holiday",2,1))))+(G170*H170))</f>
        <v/>
      </c>
      <c r="O170">
        <f>(I170*J170)+K170+L170+M170</f>
        <v/>
      </c>
      <c r="P170">
        <f>N170-O170</f>
        <v/>
      </c>
    </row>
    <row r="171">
      <c r="N171">
        <f>((E171*F171*IF(D171="Weekend",1.25,IF(D171="Night",1.5,IF(D171="Bank Holiday",2,1))))+(G171*H171))</f>
        <v/>
      </c>
      <c r="O171">
        <f>(I171*J171)+K171+L171+M171</f>
        <v/>
      </c>
      <c r="P171">
        <f>N171-O171</f>
        <v/>
      </c>
    </row>
    <row r="172">
      <c r="N172">
        <f>((E172*F172*IF(D172="Weekend",1.25,IF(D172="Night",1.5,IF(D172="Bank Holiday",2,1))))+(G172*H172))</f>
        <v/>
      </c>
      <c r="O172">
        <f>(I172*J172)+K172+L172+M172</f>
        <v/>
      </c>
      <c r="P172">
        <f>N172-O172</f>
        <v/>
      </c>
    </row>
    <row r="173">
      <c r="N173">
        <f>((E173*F173*IF(D173="Weekend",1.25,IF(D173="Night",1.5,IF(D173="Bank Holiday",2,1))))+(G173*H173))</f>
        <v/>
      </c>
      <c r="O173">
        <f>(I173*J173)+K173+L173+M173</f>
        <v/>
      </c>
      <c r="P173">
        <f>N173-O173</f>
        <v/>
      </c>
    </row>
    <row r="174">
      <c r="N174">
        <f>((E174*F174*IF(D174="Weekend",1.25,IF(D174="Night",1.5,IF(D174="Bank Holiday",2,1))))+(G174*H174))</f>
        <v/>
      </c>
      <c r="O174">
        <f>(I174*J174)+K174+L174+M174</f>
        <v/>
      </c>
      <c r="P174">
        <f>N174-O174</f>
        <v/>
      </c>
    </row>
    <row r="175">
      <c r="N175">
        <f>((E175*F175*IF(D175="Weekend",1.25,IF(D175="Night",1.5,IF(D175="Bank Holiday",2,1))))+(G175*H175))</f>
        <v/>
      </c>
      <c r="O175">
        <f>(I175*J175)+K175+L175+M175</f>
        <v/>
      </c>
      <c r="P175">
        <f>N175-O175</f>
        <v/>
      </c>
    </row>
    <row r="176">
      <c r="N176">
        <f>((E176*F176*IF(D176="Weekend",1.25,IF(D176="Night",1.5,IF(D176="Bank Holiday",2,1))))+(G176*H176))</f>
        <v/>
      </c>
      <c r="O176">
        <f>(I176*J176)+K176+L176+M176</f>
        <v/>
      </c>
      <c r="P176">
        <f>N176-O176</f>
        <v/>
      </c>
    </row>
    <row r="177">
      <c r="N177">
        <f>((E177*F177*IF(D177="Weekend",1.25,IF(D177="Night",1.5,IF(D177="Bank Holiday",2,1))))+(G177*H177))</f>
        <v/>
      </c>
      <c r="O177">
        <f>(I177*J177)+K177+L177+M177</f>
        <v/>
      </c>
      <c r="P177">
        <f>N177-O177</f>
        <v/>
      </c>
    </row>
    <row r="178">
      <c r="N178">
        <f>((E178*F178*IF(D178="Weekend",1.25,IF(D178="Night",1.5,IF(D178="Bank Holiday",2,1))))+(G178*H178))</f>
        <v/>
      </c>
      <c r="O178">
        <f>(I178*J178)+K178+L178+M178</f>
        <v/>
      </c>
      <c r="P178">
        <f>N178-O178</f>
        <v/>
      </c>
    </row>
    <row r="179">
      <c r="N179">
        <f>((E179*F179*IF(D179="Weekend",1.25,IF(D179="Night",1.5,IF(D179="Bank Holiday",2,1))))+(G179*H179))</f>
        <v/>
      </c>
      <c r="O179">
        <f>(I179*J179)+K179+L179+M179</f>
        <v/>
      </c>
      <c r="P179">
        <f>N179-O179</f>
        <v/>
      </c>
    </row>
    <row r="180">
      <c r="N180">
        <f>((E180*F180*IF(D180="Weekend",1.25,IF(D180="Night",1.5,IF(D180="Bank Holiday",2,1))))+(G180*H180))</f>
        <v/>
      </c>
      <c r="O180">
        <f>(I180*J180)+K180+L180+M180</f>
        <v/>
      </c>
      <c r="P180">
        <f>N180-O180</f>
        <v/>
      </c>
    </row>
    <row r="181">
      <c r="N181">
        <f>((E181*F181*IF(D181="Weekend",1.25,IF(D181="Night",1.5,IF(D181="Bank Holiday",2,1))))+(G181*H181))</f>
        <v/>
      </c>
      <c r="O181">
        <f>(I181*J181)+K181+L181+M181</f>
        <v/>
      </c>
      <c r="P181">
        <f>N181-O181</f>
        <v/>
      </c>
    </row>
    <row r="182">
      <c r="N182">
        <f>((E182*F182*IF(D182="Weekend",1.25,IF(D182="Night",1.5,IF(D182="Bank Holiday",2,1))))+(G182*H182))</f>
        <v/>
      </c>
      <c r="O182">
        <f>(I182*J182)+K182+L182+M182</f>
        <v/>
      </c>
      <c r="P182">
        <f>N182-O182</f>
        <v/>
      </c>
    </row>
    <row r="183">
      <c r="N183">
        <f>((E183*F183*IF(D183="Weekend",1.25,IF(D183="Night",1.5,IF(D183="Bank Holiday",2,1))))+(G183*H183))</f>
        <v/>
      </c>
      <c r="O183">
        <f>(I183*J183)+K183+L183+M183</f>
        <v/>
      </c>
      <c r="P183">
        <f>N183-O183</f>
        <v/>
      </c>
    </row>
    <row r="184">
      <c r="N184">
        <f>((E184*F184*IF(D184="Weekend",1.25,IF(D184="Night",1.5,IF(D184="Bank Holiday",2,1))))+(G184*H184))</f>
        <v/>
      </c>
      <c r="O184">
        <f>(I184*J184)+K184+L184+M184</f>
        <v/>
      </c>
      <c r="P184">
        <f>N184-O184</f>
        <v/>
      </c>
    </row>
    <row r="185">
      <c r="N185">
        <f>((E185*F185*IF(D185="Weekend",1.25,IF(D185="Night",1.5,IF(D185="Bank Holiday",2,1))))+(G185*H185))</f>
        <v/>
      </c>
      <c r="O185">
        <f>(I185*J185)+K185+L185+M185</f>
        <v/>
      </c>
      <c r="P185">
        <f>N185-O185</f>
        <v/>
      </c>
    </row>
    <row r="186">
      <c r="N186">
        <f>((E186*F186*IF(D186="Weekend",1.25,IF(D186="Night",1.5,IF(D186="Bank Holiday",2,1))))+(G186*H186))</f>
        <v/>
      </c>
      <c r="O186">
        <f>(I186*J186)+K186+L186+M186</f>
        <v/>
      </c>
      <c r="P186">
        <f>N186-O186</f>
        <v/>
      </c>
    </row>
    <row r="187">
      <c r="N187">
        <f>((E187*F187*IF(D187="Weekend",1.25,IF(D187="Night",1.5,IF(D187="Bank Holiday",2,1))))+(G187*H187))</f>
        <v/>
      </c>
      <c r="O187">
        <f>(I187*J187)+K187+L187+M187</f>
        <v/>
      </c>
      <c r="P187">
        <f>N187-O187</f>
        <v/>
      </c>
    </row>
    <row r="188">
      <c r="N188">
        <f>((E188*F188*IF(D188="Weekend",1.25,IF(D188="Night",1.5,IF(D188="Bank Holiday",2,1))))+(G188*H188))</f>
        <v/>
      </c>
      <c r="O188">
        <f>(I188*J188)+K188+L188+M188</f>
        <v/>
      </c>
      <c r="P188">
        <f>N188-O188</f>
        <v/>
      </c>
    </row>
    <row r="189">
      <c r="N189">
        <f>((E189*F189*IF(D189="Weekend",1.25,IF(D189="Night",1.5,IF(D189="Bank Holiday",2,1))))+(G189*H189))</f>
        <v/>
      </c>
      <c r="O189">
        <f>(I189*J189)+K189+L189+M189</f>
        <v/>
      </c>
      <c r="P189">
        <f>N189-O189</f>
        <v/>
      </c>
    </row>
    <row r="190">
      <c r="N190">
        <f>((E190*F190*IF(D190="Weekend",1.25,IF(D190="Night",1.5,IF(D190="Bank Holiday",2,1))))+(G190*H190))</f>
        <v/>
      </c>
      <c r="O190">
        <f>(I190*J190)+K190+L190+M190</f>
        <v/>
      </c>
      <c r="P190">
        <f>N190-O190</f>
        <v/>
      </c>
    </row>
    <row r="191">
      <c r="N191">
        <f>((E191*F191*IF(D191="Weekend",1.25,IF(D191="Night",1.5,IF(D191="Bank Holiday",2,1))))+(G191*H191))</f>
        <v/>
      </c>
      <c r="O191">
        <f>(I191*J191)+K191+L191+M191</f>
        <v/>
      </c>
      <c r="P191">
        <f>N191-O191</f>
        <v/>
      </c>
    </row>
    <row r="192">
      <c r="N192">
        <f>((E192*F192*IF(D192="Weekend",1.25,IF(D192="Night",1.5,IF(D192="Bank Holiday",2,1))))+(G192*H192))</f>
        <v/>
      </c>
      <c r="O192">
        <f>(I192*J192)+K192+L192+M192</f>
        <v/>
      </c>
      <c r="P192">
        <f>N192-O192</f>
        <v/>
      </c>
    </row>
    <row r="193">
      <c r="N193">
        <f>((E193*F193*IF(D193="Weekend",1.25,IF(D193="Night",1.5,IF(D193="Bank Holiday",2,1))))+(G193*H193))</f>
        <v/>
      </c>
      <c r="O193">
        <f>(I193*J193)+K193+L193+M193</f>
        <v/>
      </c>
      <c r="P193">
        <f>N193-O193</f>
        <v/>
      </c>
    </row>
    <row r="194">
      <c r="N194">
        <f>((E194*F194*IF(D194="Weekend",1.25,IF(D194="Night",1.5,IF(D194="Bank Holiday",2,1))))+(G194*H194))</f>
        <v/>
      </c>
      <c r="O194">
        <f>(I194*J194)+K194+L194+M194</f>
        <v/>
      </c>
      <c r="P194">
        <f>N194-O194</f>
        <v/>
      </c>
    </row>
    <row r="195">
      <c r="N195">
        <f>((E195*F195*IF(D195="Weekend",1.25,IF(D195="Night",1.5,IF(D195="Bank Holiday",2,1))))+(G195*H195))</f>
        <v/>
      </c>
      <c r="O195">
        <f>(I195*J195)+K195+L195+M195</f>
        <v/>
      </c>
      <c r="P195">
        <f>N195-O195</f>
        <v/>
      </c>
    </row>
    <row r="196">
      <c r="N196">
        <f>((E196*F196*IF(D196="Weekend",1.25,IF(D196="Night",1.5,IF(D196="Bank Holiday",2,1))))+(G196*H196))</f>
        <v/>
      </c>
      <c r="O196">
        <f>(I196*J196)+K196+L196+M196</f>
        <v/>
      </c>
      <c r="P196">
        <f>N196-O196</f>
        <v/>
      </c>
    </row>
    <row r="197">
      <c r="N197">
        <f>((E197*F197*IF(D197="Weekend",1.25,IF(D197="Night",1.5,IF(D197="Bank Holiday",2,1))))+(G197*H197))</f>
        <v/>
      </c>
      <c r="O197">
        <f>(I197*J197)+K197+L197+M197</f>
        <v/>
      </c>
      <c r="P197">
        <f>N197-O197</f>
        <v/>
      </c>
    </row>
    <row r="198">
      <c r="N198">
        <f>((E198*F198*IF(D198="Weekend",1.25,IF(D198="Night",1.5,IF(D198="Bank Holiday",2,1))))+(G198*H198))</f>
        <v/>
      </c>
      <c r="O198">
        <f>(I198*J198)+K198+L198+M198</f>
        <v/>
      </c>
      <c r="P198">
        <f>N198-O198</f>
        <v/>
      </c>
    </row>
    <row r="199">
      <c r="N199">
        <f>((E199*F199*IF(D199="Weekend",1.25,IF(D199="Night",1.5,IF(D199="Bank Holiday",2,1))))+(G199*H199))</f>
        <v/>
      </c>
      <c r="O199">
        <f>(I199*J199)+K199+L199+M199</f>
        <v/>
      </c>
      <c r="P199">
        <f>N199-O199</f>
        <v/>
      </c>
    </row>
    <row r="200">
      <c r="N200">
        <f>((E200*F200*IF(D200="Weekend",1.25,IF(D200="Night",1.5,IF(D200="Bank Holiday",2,1))))+(G200*H200))</f>
        <v/>
      </c>
      <c r="O200">
        <f>(I200*J200)+K200+L200+M200</f>
        <v/>
      </c>
      <c r="P200">
        <f>N200-O200</f>
        <v/>
      </c>
    </row>
    <row r="201">
      <c r="N201">
        <f>((E201*F201*IF(D201="Weekend",1.25,IF(D201="Night",1.5,IF(D201="Bank Holiday",2,1))))+(G201*H201))</f>
        <v/>
      </c>
      <c r="O201">
        <f>(I201*J201)+K201+L201+M201</f>
        <v/>
      </c>
      <c r="P201">
        <f>N201-O201</f>
        <v/>
      </c>
    </row>
    <row r="202">
      <c r="N202">
        <f>((E202*F202*IF(D202="Weekend",1.25,IF(D202="Night",1.5,IF(D202="Bank Holiday",2,1))))+(G202*H202))</f>
        <v/>
      </c>
      <c r="O202">
        <f>(I202*J202)+K202+L202+M202</f>
        <v/>
      </c>
      <c r="P202">
        <f>N202-O202</f>
        <v/>
      </c>
    </row>
    <row r="203">
      <c r="N203">
        <f>((E203*F203*IF(D203="Weekend",1.25,IF(D203="Night",1.5,IF(D203="Bank Holiday",2,1))))+(G203*H203))</f>
        <v/>
      </c>
      <c r="O203">
        <f>(I203*J203)+K203+L203+M203</f>
        <v/>
      </c>
      <c r="P203">
        <f>N203-O203</f>
        <v/>
      </c>
    </row>
    <row r="204">
      <c r="N204">
        <f>((E204*F204*IF(D204="Weekend",1.25,IF(D204="Night",1.5,IF(D204="Bank Holiday",2,1))))+(G204*H204))</f>
        <v/>
      </c>
      <c r="O204">
        <f>(I204*J204)+K204+L204+M204</f>
        <v/>
      </c>
      <c r="P204">
        <f>N204-O204</f>
        <v/>
      </c>
    </row>
    <row r="205">
      <c r="N205">
        <f>((E205*F205*IF(D205="Weekend",1.25,IF(D205="Night",1.5,IF(D205="Bank Holiday",2,1))))+(G205*H205))</f>
        <v/>
      </c>
      <c r="O205">
        <f>(I205*J205)+K205+L205+M205</f>
        <v/>
      </c>
      <c r="P205">
        <f>N205-O205</f>
        <v/>
      </c>
    </row>
    <row r="206">
      <c r="N206">
        <f>((E206*F206*IF(D206="Weekend",1.25,IF(D206="Night",1.5,IF(D206="Bank Holiday",2,1))))+(G206*H206))</f>
        <v/>
      </c>
      <c r="O206">
        <f>(I206*J206)+K206+L206+M206</f>
        <v/>
      </c>
      <c r="P206">
        <f>N206-O206</f>
        <v/>
      </c>
    </row>
    <row r="207">
      <c r="N207">
        <f>((E207*F207*IF(D207="Weekend",1.25,IF(D207="Night",1.5,IF(D207="Bank Holiday",2,1))))+(G207*H207))</f>
        <v/>
      </c>
      <c r="O207">
        <f>(I207*J207)+K207+L207+M207</f>
        <v/>
      </c>
      <c r="P207">
        <f>N207-O207</f>
        <v/>
      </c>
    </row>
    <row r="208">
      <c r="N208">
        <f>((E208*F208*IF(D208="Weekend",1.25,IF(D208="Night",1.5,IF(D208="Bank Holiday",2,1))))+(G208*H208))</f>
        <v/>
      </c>
      <c r="O208">
        <f>(I208*J208)+K208+L208+M208</f>
        <v/>
      </c>
      <c r="P208">
        <f>N208-O208</f>
        <v/>
      </c>
    </row>
    <row r="209">
      <c r="N209">
        <f>((E209*F209*IF(D209="Weekend",1.25,IF(D209="Night",1.5,IF(D209="Bank Holiday",2,1))))+(G209*H209))</f>
        <v/>
      </c>
      <c r="O209">
        <f>(I209*J209)+K209+L209+M209</f>
        <v/>
      </c>
      <c r="P209">
        <f>N209-O209</f>
        <v/>
      </c>
    </row>
    <row r="210">
      <c r="N210">
        <f>((E210*F210*IF(D210="Weekend",1.25,IF(D210="Night",1.5,IF(D210="Bank Holiday",2,1))))+(G210*H210))</f>
        <v/>
      </c>
      <c r="O210">
        <f>(I210*J210)+K210+L210+M210</f>
        <v/>
      </c>
      <c r="P210">
        <f>N210-O210</f>
        <v/>
      </c>
    </row>
    <row r="211">
      <c r="N211">
        <f>((E211*F211*IF(D211="Weekend",1.25,IF(D211="Night",1.5,IF(D211="Bank Holiday",2,1))))+(G211*H211))</f>
        <v/>
      </c>
      <c r="O211">
        <f>(I211*J211)+K211+L211+M211</f>
        <v/>
      </c>
      <c r="P211">
        <f>N211-O211</f>
        <v/>
      </c>
    </row>
    <row r="212">
      <c r="N212">
        <f>((E212*F212*IF(D212="Weekend",1.25,IF(D212="Night",1.5,IF(D212="Bank Holiday",2,1))))+(G212*H212))</f>
        <v/>
      </c>
      <c r="O212">
        <f>(I212*J212)+K212+L212+M212</f>
        <v/>
      </c>
      <c r="P212">
        <f>N212-O212</f>
        <v/>
      </c>
    </row>
    <row r="213">
      <c r="N213">
        <f>((E213*F213*IF(D213="Weekend",1.25,IF(D213="Night",1.5,IF(D213="Bank Holiday",2,1))))+(G213*H213))</f>
        <v/>
      </c>
      <c r="O213">
        <f>(I213*J213)+K213+L213+M213</f>
        <v/>
      </c>
      <c r="P213">
        <f>N213-O213</f>
        <v/>
      </c>
    </row>
    <row r="214">
      <c r="N214">
        <f>((E214*F214*IF(D214="Weekend",1.25,IF(D214="Night",1.5,IF(D214="Bank Holiday",2,1))))+(G214*H214))</f>
        <v/>
      </c>
      <c r="O214">
        <f>(I214*J214)+K214+L214+M214</f>
        <v/>
      </c>
      <c r="P214">
        <f>N214-O214</f>
        <v/>
      </c>
    </row>
    <row r="215">
      <c r="N215">
        <f>((E215*F215*IF(D215="Weekend",1.25,IF(D215="Night",1.5,IF(D215="Bank Holiday",2,1))))+(G215*H215))</f>
        <v/>
      </c>
      <c r="O215">
        <f>(I215*J215)+K215+L215+M215</f>
        <v/>
      </c>
      <c r="P215">
        <f>N215-O215</f>
        <v/>
      </c>
    </row>
    <row r="216">
      <c r="N216">
        <f>((E216*F216*IF(D216="Weekend",1.25,IF(D216="Night",1.5,IF(D216="Bank Holiday",2,1))))+(G216*H216))</f>
        <v/>
      </c>
      <c r="O216">
        <f>(I216*J216)+K216+L216+M216</f>
        <v/>
      </c>
      <c r="P216">
        <f>N216-O216</f>
        <v/>
      </c>
    </row>
    <row r="217">
      <c r="N217">
        <f>((E217*F217*IF(D217="Weekend",1.25,IF(D217="Night",1.5,IF(D217="Bank Holiday",2,1))))+(G217*H217))</f>
        <v/>
      </c>
      <c r="O217">
        <f>(I217*J217)+K217+L217+M217</f>
        <v/>
      </c>
      <c r="P217">
        <f>N217-O217</f>
        <v/>
      </c>
    </row>
    <row r="218">
      <c r="N218">
        <f>((E218*F218*IF(D218="Weekend",1.25,IF(D218="Night",1.5,IF(D218="Bank Holiday",2,1))))+(G218*H218))</f>
        <v/>
      </c>
      <c r="O218">
        <f>(I218*J218)+K218+L218+M218</f>
        <v/>
      </c>
      <c r="P218">
        <f>N218-O218</f>
        <v/>
      </c>
    </row>
    <row r="219">
      <c r="N219">
        <f>((E219*F219*IF(D219="Weekend",1.25,IF(D219="Night",1.5,IF(D219="Bank Holiday",2,1))))+(G219*H219))</f>
        <v/>
      </c>
      <c r="O219">
        <f>(I219*J219)+K219+L219+M219</f>
        <v/>
      </c>
      <c r="P219">
        <f>N219-O219</f>
        <v/>
      </c>
    </row>
    <row r="220">
      <c r="N220">
        <f>((E220*F220*IF(D220="Weekend",1.25,IF(D220="Night",1.5,IF(D220="Bank Holiday",2,1))))+(G220*H220))</f>
        <v/>
      </c>
      <c r="O220">
        <f>(I220*J220)+K220+L220+M220</f>
        <v/>
      </c>
      <c r="P220">
        <f>N220-O220</f>
        <v/>
      </c>
    </row>
    <row r="221">
      <c r="N221">
        <f>((E221*F221*IF(D221="Weekend",1.25,IF(D221="Night",1.5,IF(D221="Bank Holiday",2,1))))+(G221*H221))</f>
        <v/>
      </c>
      <c r="O221">
        <f>(I221*J221)+K221+L221+M221</f>
        <v/>
      </c>
      <c r="P221">
        <f>N221-O221</f>
        <v/>
      </c>
    </row>
    <row r="222">
      <c r="N222">
        <f>((E222*F222*IF(D222="Weekend",1.25,IF(D222="Night",1.5,IF(D222="Bank Holiday",2,1))))+(G222*H222))</f>
        <v/>
      </c>
      <c r="O222">
        <f>(I222*J222)+K222+L222+M222</f>
        <v/>
      </c>
      <c r="P222">
        <f>N222-O222</f>
        <v/>
      </c>
    </row>
    <row r="223">
      <c r="N223">
        <f>((E223*F223*IF(D223="Weekend",1.25,IF(D223="Night",1.5,IF(D223="Bank Holiday",2,1))))+(G223*H223))</f>
        <v/>
      </c>
      <c r="O223">
        <f>(I223*J223)+K223+L223+M223</f>
        <v/>
      </c>
      <c r="P223">
        <f>N223-O223</f>
        <v/>
      </c>
    </row>
    <row r="224">
      <c r="N224">
        <f>((E224*F224*IF(D224="Weekend",1.25,IF(D224="Night",1.5,IF(D224="Bank Holiday",2,1))))+(G224*H224))</f>
        <v/>
      </c>
      <c r="O224">
        <f>(I224*J224)+K224+L224+M224</f>
        <v/>
      </c>
      <c r="P224">
        <f>N224-O224</f>
        <v/>
      </c>
    </row>
    <row r="225">
      <c r="N225">
        <f>((E225*F225*IF(D225="Weekend",1.25,IF(D225="Night",1.5,IF(D225="Bank Holiday",2,1))))+(G225*H225))</f>
        <v/>
      </c>
      <c r="O225">
        <f>(I225*J225)+K225+L225+M225</f>
        <v/>
      </c>
      <c r="P225">
        <f>N225-O225</f>
        <v/>
      </c>
    </row>
    <row r="226">
      <c r="N226">
        <f>((E226*F226*IF(D226="Weekend",1.25,IF(D226="Night",1.5,IF(D226="Bank Holiday",2,1))))+(G226*H226))</f>
        <v/>
      </c>
      <c r="O226">
        <f>(I226*J226)+K226+L226+M226</f>
        <v/>
      </c>
      <c r="P226">
        <f>N226-O226</f>
        <v/>
      </c>
    </row>
    <row r="227">
      <c r="N227">
        <f>((E227*F227*IF(D227="Weekend",1.25,IF(D227="Night",1.5,IF(D227="Bank Holiday",2,1))))+(G227*H227))</f>
        <v/>
      </c>
      <c r="O227">
        <f>(I227*J227)+K227+L227+M227</f>
        <v/>
      </c>
      <c r="P227">
        <f>N227-O227</f>
        <v/>
      </c>
    </row>
    <row r="228">
      <c r="N228">
        <f>((E228*F228*IF(D228="Weekend",1.25,IF(D228="Night",1.5,IF(D228="Bank Holiday",2,1))))+(G228*H228))</f>
        <v/>
      </c>
      <c r="O228">
        <f>(I228*J228)+K228+L228+M228</f>
        <v/>
      </c>
      <c r="P228">
        <f>N228-O228</f>
        <v/>
      </c>
    </row>
    <row r="229">
      <c r="N229">
        <f>((E229*F229*IF(D229="Weekend",1.25,IF(D229="Night",1.5,IF(D229="Bank Holiday",2,1))))+(G229*H229))</f>
        <v/>
      </c>
      <c r="O229">
        <f>(I229*J229)+K229+L229+M229</f>
        <v/>
      </c>
      <c r="P229">
        <f>N229-O229</f>
        <v/>
      </c>
    </row>
    <row r="230">
      <c r="N230">
        <f>((E230*F230*IF(D230="Weekend",1.25,IF(D230="Night",1.5,IF(D230="Bank Holiday",2,1))))+(G230*H230))</f>
        <v/>
      </c>
      <c r="O230">
        <f>(I230*J230)+K230+L230+M230</f>
        <v/>
      </c>
      <c r="P230">
        <f>N230-O230</f>
        <v/>
      </c>
    </row>
    <row r="231">
      <c r="N231">
        <f>((E231*F231*IF(D231="Weekend",1.25,IF(D231="Night",1.5,IF(D231="Bank Holiday",2,1))))+(G231*H231))</f>
        <v/>
      </c>
      <c r="O231">
        <f>(I231*J231)+K231+L231+M231</f>
        <v/>
      </c>
      <c r="P231">
        <f>N231-O231</f>
        <v/>
      </c>
    </row>
    <row r="232">
      <c r="N232">
        <f>((E232*F232*IF(D232="Weekend",1.25,IF(D232="Night",1.5,IF(D232="Bank Holiday",2,1))))+(G232*H232))</f>
        <v/>
      </c>
      <c r="O232">
        <f>(I232*J232)+K232+L232+M232</f>
        <v/>
      </c>
      <c r="P232">
        <f>N232-O232</f>
        <v/>
      </c>
    </row>
    <row r="233">
      <c r="N233">
        <f>((E233*F233*IF(D233="Weekend",1.25,IF(D233="Night",1.5,IF(D233="Bank Holiday",2,1))))+(G233*H233))</f>
        <v/>
      </c>
      <c r="O233">
        <f>(I233*J233)+K233+L233+M233</f>
        <v/>
      </c>
      <c r="P233">
        <f>N233-O233</f>
        <v/>
      </c>
    </row>
    <row r="234">
      <c r="N234">
        <f>((E234*F234*IF(D234="Weekend",1.25,IF(D234="Night",1.5,IF(D234="Bank Holiday",2,1))))+(G234*H234))</f>
        <v/>
      </c>
      <c r="O234">
        <f>(I234*J234)+K234+L234+M234</f>
        <v/>
      </c>
      <c r="P234">
        <f>N234-O234</f>
        <v/>
      </c>
    </row>
    <row r="235">
      <c r="N235">
        <f>((E235*F235*IF(D235="Weekend",1.25,IF(D235="Night",1.5,IF(D235="Bank Holiday",2,1))))+(G235*H235))</f>
        <v/>
      </c>
      <c r="O235">
        <f>(I235*J235)+K235+L235+M235</f>
        <v/>
      </c>
      <c r="P235">
        <f>N235-O235</f>
        <v/>
      </c>
    </row>
    <row r="236">
      <c r="N236">
        <f>((E236*F236*IF(D236="Weekend",1.25,IF(D236="Night",1.5,IF(D236="Bank Holiday",2,1))))+(G236*H236))</f>
        <v/>
      </c>
      <c r="O236">
        <f>(I236*J236)+K236+L236+M236</f>
        <v/>
      </c>
      <c r="P236">
        <f>N236-O236</f>
        <v/>
      </c>
    </row>
    <row r="237">
      <c r="N237">
        <f>((E237*F237*IF(D237="Weekend",1.25,IF(D237="Night",1.5,IF(D237="Bank Holiday",2,1))))+(G237*H237))</f>
        <v/>
      </c>
      <c r="O237">
        <f>(I237*J237)+K237+L237+M237</f>
        <v/>
      </c>
      <c r="P237">
        <f>N237-O237</f>
        <v/>
      </c>
    </row>
    <row r="238">
      <c r="N238">
        <f>((E238*F238*IF(D238="Weekend",1.25,IF(D238="Night",1.5,IF(D238="Bank Holiday",2,1))))+(G238*H238))</f>
        <v/>
      </c>
      <c r="O238">
        <f>(I238*J238)+K238+L238+M238</f>
        <v/>
      </c>
      <c r="P238">
        <f>N238-O238</f>
        <v/>
      </c>
    </row>
    <row r="239">
      <c r="N239">
        <f>((E239*F239*IF(D239="Weekend",1.25,IF(D239="Night",1.5,IF(D239="Bank Holiday",2,1))))+(G239*H239))</f>
        <v/>
      </c>
      <c r="O239">
        <f>(I239*J239)+K239+L239+M239</f>
        <v/>
      </c>
      <c r="P239">
        <f>N239-O239</f>
        <v/>
      </c>
    </row>
    <row r="240">
      <c r="N240">
        <f>((E240*F240*IF(D240="Weekend",1.25,IF(D240="Night",1.5,IF(D240="Bank Holiday",2,1))))+(G240*H240))</f>
        <v/>
      </c>
      <c r="O240">
        <f>(I240*J240)+K240+L240+M240</f>
        <v/>
      </c>
      <c r="P240">
        <f>N240-O240</f>
        <v/>
      </c>
    </row>
    <row r="241">
      <c r="N241">
        <f>((E241*F241*IF(D241="Weekend",1.25,IF(D241="Night",1.5,IF(D241="Bank Holiday",2,1))))+(G241*H241))</f>
        <v/>
      </c>
      <c r="O241">
        <f>(I241*J241)+K241+L241+M241</f>
        <v/>
      </c>
      <c r="P241">
        <f>N241-O241</f>
        <v/>
      </c>
    </row>
    <row r="242">
      <c r="N242">
        <f>((E242*F242*IF(D242="Weekend",1.25,IF(D242="Night",1.5,IF(D242="Bank Holiday",2,1))))+(G242*H242))</f>
        <v/>
      </c>
      <c r="O242">
        <f>(I242*J242)+K242+L242+M242</f>
        <v/>
      </c>
      <c r="P242">
        <f>N242-O242</f>
        <v/>
      </c>
    </row>
    <row r="243">
      <c r="N243">
        <f>((E243*F243*IF(D243="Weekend",1.25,IF(D243="Night",1.5,IF(D243="Bank Holiday",2,1))))+(G243*H243))</f>
        <v/>
      </c>
      <c r="O243">
        <f>(I243*J243)+K243+L243+M243</f>
        <v/>
      </c>
      <c r="P243">
        <f>N243-O243</f>
        <v/>
      </c>
    </row>
    <row r="244">
      <c r="N244">
        <f>((E244*F244*IF(D244="Weekend",1.25,IF(D244="Night",1.5,IF(D244="Bank Holiday",2,1))))+(G244*H244))</f>
        <v/>
      </c>
      <c r="O244">
        <f>(I244*J244)+K244+L244+M244</f>
        <v/>
      </c>
      <c r="P244">
        <f>N244-O244</f>
        <v/>
      </c>
    </row>
    <row r="245">
      <c r="N245">
        <f>((E245*F245*IF(D245="Weekend",1.25,IF(D245="Night",1.5,IF(D245="Bank Holiday",2,1))))+(G245*H245))</f>
        <v/>
      </c>
      <c r="O245">
        <f>(I245*J245)+K245+L245+M245</f>
        <v/>
      </c>
      <c r="P245">
        <f>N245-O245</f>
        <v/>
      </c>
    </row>
    <row r="246">
      <c r="N246">
        <f>((E246*F246*IF(D246="Weekend",1.25,IF(D246="Night",1.5,IF(D246="Bank Holiday",2,1))))+(G246*H246))</f>
        <v/>
      </c>
      <c r="O246">
        <f>(I246*J246)+K246+L246+M246</f>
        <v/>
      </c>
      <c r="P246">
        <f>N246-O246</f>
        <v/>
      </c>
    </row>
    <row r="247">
      <c r="N247">
        <f>((E247*F247*IF(D247="Weekend",1.25,IF(D247="Night",1.5,IF(D247="Bank Holiday",2,1))))+(G247*H247))</f>
        <v/>
      </c>
      <c r="O247">
        <f>(I247*J247)+K247+L247+M247</f>
        <v/>
      </c>
      <c r="P247">
        <f>N247-O247</f>
        <v/>
      </c>
    </row>
    <row r="248">
      <c r="N248">
        <f>((E248*F248*IF(D248="Weekend",1.25,IF(D248="Night",1.5,IF(D248="Bank Holiday",2,1))))+(G248*H248))</f>
        <v/>
      </c>
      <c r="O248">
        <f>(I248*J248)+K248+L248+M248</f>
        <v/>
      </c>
      <c r="P248">
        <f>N248-O248</f>
        <v/>
      </c>
    </row>
    <row r="249">
      <c r="N249">
        <f>((E249*F249*IF(D249="Weekend",1.25,IF(D249="Night",1.5,IF(D249="Bank Holiday",2,1))))+(G249*H249))</f>
        <v/>
      </c>
      <c r="O249">
        <f>(I249*J249)+K249+L249+M249</f>
        <v/>
      </c>
      <c r="P249">
        <f>N249-O249</f>
        <v/>
      </c>
    </row>
    <row r="250">
      <c r="N250">
        <f>((E250*F250*IF(D250="Weekend",1.25,IF(D250="Night",1.5,IF(D250="Bank Holiday",2,1))))+(G250*H250))</f>
        <v/>
      </c>
      <c r="O250">
        <f>(I250*J250)+K250+L250+M250</f>
        <v/>
      </c>
      <c r="P250">
        <f>N250-O250</f>
        <v/>
      </c>
    </row>
    <row r="251">
      <c r="N251">
        <f>((E251*F251*IF(D251="Weekend",1.25,IF(D251="Night",1.5,IF(D251="Bank Holiday",2,1))))+(G251*H251))</f>
        <v/>
      </c>
      <c r="O251">
        <f>(I251*J251)+K251+L251+M251</f>
        <v/>
      </c>
      <c r="P251">
        <f>N251-O251</f>
        <v/>
      </c>
    </row>
    <row r="252">
      <c r="N252">
        <f>((E252*F252*IF(D252="Weekend",1.25,IF(D252="Night",1.5,IF(D252="Bank Holiday",2,1))))+(G252*H252))</f>
        <v/>
      </c>
      <c r="O252">
        <f>(I252*J252)+K252+L252+M252</f>
        <v/>
      </c>
      <c r="P252">
        <f>N252-O252</f>
        <v/>
      </c>
    </row>
    <row r="253">
      <c r="N253">
        <f>((E253*F253*IF(D253="Weekend",1.25,IF(D253="Night",1.5,IF(D253="Bank Holiday",2,1))))+(G253*H253))</f>
        <v/>
      </c>
      <c r="O253">
        <f>(I253*J253)+K253+L253+M253</f>
        <v/>
      </c>
      <c r="P253">
        <f>N253-O253</f>
        <v/>
      </c>
    </row>
    <row r="254">
      <c r="N254">
        <f>((E254*F254*IF(D254="Weekend",1.25,IF(D254="Night",1.5,IF(D254="Bank Holiday",2,1))))+(G254*H254))</f>
        <v/>
      </c>
      <c r="O254">
        <f>(I254*J254)+K254+L254+M254</f>
        <v/>
      </c>
      <c r="P254">
        <f>N254-O254</f>
        <v/>
      </c>
    </row>
    <row r="255">
      <c r="N255">
        <f>((E255*F255*IF(D255="Weekend",1.25,IF(D255="Night",1.5,IF(D255="Bank Holiday",2,1))))+(G255*H255))</f>
        <v/>
      </c>
      <c r="O255">
        <f>(I255*J255)+K255+L255+M255</f>
        <v/>
      </c>
      <c r="P255">
        <f>N255-O255</f>
        <v/>
      </c>
    </row>
    <row r="256">
      <c r="N256">
        <f>((E256*F256*IF(D256="Weekend",1.25,IF(D256="Night",1.5,IF(D256="Bank Holiday",2,1))))+(G256*H256))</f>
        <v/>
      </c>
      <c r="O256">
        <f>(I256*J256)+K256+L256+M256</f>
        <v/>
      </c>
      <c r="P256">
        <f>N256-O256</f>
        <v/>
      </c>
    </row>
    <row r="257">
      <c r="N257">
        <f>((E257*F257*IF(D257="Weekend",1.25,IF(D257="Night",1.5,IF(D257="Bank Holiday",2,1))))+(G257*H257))</f>
        <v/>
      </c>
      <c r="O257">
        <f>(I257*J257)+K257+L257+M257</f>
        <v/>
      </c>
      <c r="P257">
        <f>N257-O257</f>
        <v/>
      </c>
    </row>
    <row r="258">
      <c r="N258">
        <f>((E258*F258*IF(D258="Weekend",1.25,IF(D258="Night",1.5,IF(D258="Bank Holiday",2,1))))+(G258*H258))</f>
        <v/>
      </c>
      <c r="O258">
        <f>(I258*J258)+K258+L258+M258</f>
        <v/>
      </c>
      <c r="P258">
        <f>N258-O258</f>
        <v/>
      </c>
    </row>
    <row r="259">
      <c r="N259">
        <f>((E259*F259*IF(D259="Weekend",1.25,IF(D259="Night",1.5,IF(D259="Bank Holiday",2,1))))+(G259*H259))</f>
        <v/>
      </c>
      <c r="O259">
        <f>(I259*J259)+K259+L259+M259</f>
        <v/>
      </c>
      <c r="P259">
        <f>N259-O259</f>
        <v/>
      </c>
    </row>
    <row r="260">
      <c r="N260">
        <f>((E260*F260*IF(D260="Weekend",1.25,IF(D260="Night",1.5,IF(D260="Bank Holiday",2,1))))+(G260*H260))</f>
        <v/>
      </c>
      <c r="O260">
        <f>(I260*J260)+K260+L260+M260</f>
        <v/>
      </c>
      <c r="P260">
        <f>N260-O260</f>
        <v/>
      </c>
    </row>
    <row r="261">
      <c r="N261">
        <f>((E261*F261*IF(D261="Weekend",1.25,IF(D261="Night",1.5,IF(D261="Bank Holiday",2,1))))+(G261*H261))</f>
        <v/>
      </c>
      <c r="O261">
        <f>(I261*J261)+K261+L261+M261</f>
        <v/>
      </c>
      <c r="P261">
        <f>N261-O261</f>
        <v/>
      </c>
    </row>
    <row r="262">
      <c r="N262">
        <f>((E262*F262*IF(D262="Weekend",1.25,IF(D262="Night",1.5,IF(D262="Bank Holiday",2,1))))+(G262*H262))</f>
        <v/>
      </c>
      <c r="O262">
        <f>(I262*J262)+K262+L262+M262</f>
        <v/>
      </c>
      <c r="P262">
        <f>N262-O262</f>
        <v/>
      </c>
    </row>
    <row r="263">
      <c r="N263">
        <f>((E263*F263*IF(D263="Weekend",1.25,IF(D263="Night",1.5,IF(D263="Bank Holiday",2,1))))+(G263*H263))</f>
        <v/>
      </c>
      <c r="O263">
        <f>(I263*J263)+K263+L263+M263</f>
        <v/>
      </c>
      <c r="P263">
        <f>N263-O263</f>
        <v/>
      </c>
    </row>
    <row r="264">
      <c r="N264">
        <f>((E264*F264*IF(D264="Weekend",1.25,IF(D264="Night",1.5,IF(D264="Bank Holiday",2,1))))+(G264*H264))</f>
        <v/>
      </c>
      <c r="O264">
        <f>(I264*J264)+K264+L264+M264</f>
        <v/>
      </c>
      <c r="P264">
        <f>N264-O264</f>
        <v/>
      </c>
    </row>
    <row r="265">
      <c r="N265">
        <f>((E265*F265*IF(D265="Weekend",1.25,IF(D265="Night",1.5,IF(D265="Bank Holiday",2,1))))+(G265*H265))</f>
        <v/>
      </c>
      <c r="O265">
        <f>(I265*J265)+K265+L265+M265</f>
        <v/>
      </c>
      <c r="P265">
        <f>N265-O265</f>
        <v/>
      </c>
    </row>
    <row r="266">
      <c r="N266">
        <f>((E266*F266*IF(D266="Weekend",1.25,IF(D266="Night",1.5,IF(D266="Bank Holiday",2,1))))+(G266*H266))</f>
        <v/>
      </c>
      <c r="O266">
        <f>(I266*J266)+K266+L266+M266</f>
        <v/>
      </c>
      <c r="P266">
        <f>N266-O266</f>
        <v/>
      </c>
    </row>
    <row r="267">
      <c r="N267">
        <f>((E267*F267*IF(D267="Weekend",1.25,IF(D267="Night",1.5,IF(D267="Bank Holiday",2,1))))+(G267*H267))</f>
        <v/>
      </c>
      <c r="O267">
        <f>(I267*J267)+K267+L267+M267</f>
        <v/>
      </c>
      <c r="P267">
        <f>N267-O267</f>
        <v/>
      </c>
    </row>
    <row r="268">
      <c r="N268">
        <f>((E268*F268*IF(D268="Weekend",1.25,IF(D268="Night",1.5,IF(D268="Bank Holiday",2,1))))+(G268*H268))</f>
        <v/>
      </c>
      <c r="O268">
        <f>(I268*J268)+K268+L268+M268</f>
        <v/>
      </c>
      <c r="P268">
        <f>N268-O268</f>
        <v/>
      </c>
    </row>
    <row r="269">
      <c r="N269">
        <f>((E269*F269*IF(D269="Weekend",1.25,IF(D269="Night",1.5,IF(D269="Bank Holiday",2,1))))+(G269*H269))</f>
        <v/>
      </c>
      <c r="O269">
        <f>(I269*J269)+K269+L269+M269</f>
        <v/>
      </c>
      <c r="P269">
        <f>N269-O269</f>
        <v/>
      </c>
    </row>
    <row r="270">
      <c r="N270">
        <f>((E270*F270*IF(D270="Weekend",1.25,IF(D270="Night",1.5,IF(D270="Bank Holiday",2,1))))+(G270*H270))</f>
        <v/>
      </c>
      <c r="O270">
        <f>(I270*J270)+K270+L270+M270</f>
        <v/>
      </c>
      <c r="P270">
        <f>N270-O270</f>
        <v/>
      </c>
    </row>
    <row r="271">
      <c r="N271">
        <f>((E271*F271*IF(D271="Weekend",1.25,IF(D271="Night",1.5,IF(D271="Bank Holiday",2,1))))+(G271*H271))</f>
        <v/>
      </c>
      <c r="O271">
        <f>(I271*J271)+K271+L271+M271</f>
        <v/>
      </c>
      <c r="P271">
        <f>N271-O271</f>
        <v/>
      </c>
    </row>
    <row r="272">
      <c r="N272">
        <f>((E272*F272*IF(D272="Weekend",1.25,IF(D272="Night",1.5,IF(D272="Bank Holiday",2,1))))+(G272*H272))</f>
        <v/>
      </c>
      <c r="O272">
        <f>(I272*J272)+K272+L272+M272</f>
        <v/>
      </c>
      <c r="P272">
        <f>N272-O272</f>
        <v/>
      </c>
    </row>
    <row r="273">
      <c r="N273">
        <f>((E273*F273*IF(D273="Weekend",1.25,IF(D273="Night",1.5,IF(D273="Bank Holiday",2,1))))+(G273*H273))</f>
        <v/>
      </c>
      <c r="O273">
        <f>(I273*J273)+K273+L273+M273</f>
        <v/>
      </c>
      <c r="P273">
        <f>N273-O273</f>
        <v/>
      </c>
    </row>
    <row r="274">
      <c r="N274">
        <f>((E274*F274*IF(D274="Weekend",1.25,IF(D274="Night",1.5,IF(D274="Bank Holiday",2,1))))+(G274*H274))</f>
        <v/>
      </c>
      <c r="O274">
        <f>(I274*J274)+K274+L274+M274</f>
        <v/>
      </c>
      <c r="P274">
        <f>N274-O274</f>
        <v/>
      </c>
    </row>
    <row r="275">
      <c r="N275">
        <f>((E275*F275*IF(D275="Weekend",1.25,IF(D275="Night",1.5,IF(D275="Bank Holiday",2,1))))+(G275*H275))</f>
        <v/>
      </c>
      <c r="O275">
        <f>(I275*J275)+K275+L275+M275</f>
        <v/>
      </c>
      <c r="P275">
        <f>N275-O275</f>
        <v/>
      </c>
    </row>
    <row r="276">
      <c r="N276">
        <f>((E276*F276*IF(D276="Weekend",1.25,IF(D276="Night",1.5,IF(D276="Bank Holiday",2,1))))+(G276*H276))</f>
        <v/>
      </c>
      <c r="O276">
        <f>(I276*J276)+K276+L276+M276</f>
        <v/>
      </c>
      <c r="P276">
        <f>N276-O276</f>
        <v/>
      </c>
    </row>
    <row r="277">
      <c r="N277">
        <f>((E277*F277*IF(D277="Weekend",1.25,IF(D277="Night",1.5,IF(D277="Bank Holiday",2,1))))+(G277*H277))</f>
        <v/>
      </c>
      <c r="O277">
        <f>(I277*J277)+K277+L277+M277</f>
        <v/>
      </c>
      <c r="P277">
        <f>N277-O277</f>
        <v/>
      </c>
    </row>
    <row r="278">
      <c r="N278">
        <f>((E278*F278*IF(D278="Weekend",1.25,IF(D278="Night",1.5,IF(D278="Bank Holiday",2,1))))+(G278*H278))</f>
        <v/>
      </c>
      <c r="O278">
        <f>(I278*J278)+K278+L278+M278</f>
        <v/>
      </c>
      <c r="P278">
        <f>N278-O278</f>
        <v/>
      </c>
    </row>
    <row r="279">
      <c r="N279">
        <f>((E279*F279*IF(D279="Weekend",1.25,IF(D279="Night",1.5,IF(D279="Bank Holiday",2,1))))+(G279*H279))</f>
        <v/>
      </c>
      <c r="O279">
        <f>(I279*J279)+K279+L279+M279</f>
        <v/>
      </c>
      <c r="P279">
        <f>N279-O279</f>
        <v/>
      </c>
    </row>
    <row r="280">
      <c r="N280">
        <f>((E280*F280*IF(D280="Weekend",1.25,IF(D280="Night",1.5,IF(D280="Bank Holiday",2,1))))+(G280*H280))</f>
        <v/>
      </c>
      <c r="O280">
        <f>(I280*J280)+K280+L280+M280</f>
        <v/>
      </c>
      <c r="P280">
        <f>N280-O280</f>
        <v/>
      </c>
    </row>
    <row r="281">
      <c r="N281">
        <f>((E281*F281*IF(D281="Weekend",1.25,IF(D281="Night",1.5,IF(D281="Bank Holiday",2,1))))+(G281*H281))</f>
        <v/>
      </c>
      <c r="O281">
        <f>(I281*J281)+K281+L281+M281</f>
        <v/>
      </c>
      <c r="P281">
        <f>N281-O281</f>
        <v/>
      </c>
    </row>
    <row r="282">
      <c r="N282">
        <f>((E282*F282*IF(D282="Weekend",1.25,IF(D282="Night",1.5,IF(D282="Bank Holiday",2,1))))+(G282*H282))</f>
        <v/>
      </c>
      <c r="O282">
        <f>(I282*J282)+K282+L282+M282</f>
        <v/>
      </c>
      <c r="P282">
        <f>N282-O282</f>
        <v/>
      </c>
    </row>
    <row r="283">
      <c r="N283">
        <f>((E283*F283*IF(D283="Weekend",1.25,IF(D283="Night",1.5,IF(D283="Bank Holiday",2,1))))+(G283*H283))</f>
        <v/>
      </c>
      <c r="O283">
        <f>(I283*J283)+K283+L283+M283</f>
        <v/>
      </c>
      <c r="P283">
        <f>N283-O283</f>
        <v/>
      </c>
    </row>
    <row r="284">
      <c r="N284">
        <f>((E284*F284*IF(D284="Weekend",1.25,IF(D284="Night",1.5,IF(D284="Bank Holiday",2,1))))+(G284*H284))</f>
        <v/>
      </c>
      <c r="O284">
        <f>(I284*J284)+K284+L284+M284</f>
        <v/>
      </c>
      <c r="P284">
        <f>N284-O284</f>
        <v/>
      </c>
    </row>
    <row r="285">
      <c r="N285">
        <f>((E285*F285*IF(D285="Weekend",1.25,IF(D285="Night",1.5,IF(D285="Bank Holiday",2,1))))+(G285*H285))</f>
        <v/>
      </c>
      <c r="O285">
        <f>(I285*J285)+K285+L285+M285</f>
        <v/>
      </c>
      <c r="P285">
        <f>N285-O285</f>
        <v/>
      </c>
    </row>
    <row r="286">
      <c r="N286">
        <f>((E286*F286*IF(D286="Weekend",1.25,IF(D286="Night",1.5,IF(D286="Bank Holiday",2,1))))+(G286*H286))</f>
        <v/>
      </c>
      <c r="O286">
        <f>(I286*J286)+K286+L286+M286</f>
        <v/>
      </c>
      <c r="P286">
        <f>N286-O286</f>
        <v/>
      </c>
    </row>
    <row r="287">
      <c r="N287">
        <f>((E287*F287*IF(D287="Weekend",1.25,IF(D287="Night",1.5,IF(D287="Bank Holiday",2,1))))+(G287*H287))</f>
        <v/>
      </c>
      <c r="O287">
        <f>(I287*J287)+K287+L287+M287</f>
        <v/>
      </c>
      <c r="P287">
        <f>N287-O287</f>
        <v/>
      </c>
    </row>
    <row r="288">
      <c r="N288">
        <f>((E288*F288*IF(D288="Weekend",1.25,IF(D288="Night",1.5,IF(D288="Bank Holiday",2,1))))+(G288*H288))</f>
        <v/>
      </c>
      <c r="O288">
        <f>(I288*J288)+K288+L288+M288</f>
        <v/>
      </c>
      <c r="P288">
        <f>N288-O288</f>
        <v/>
      </c>
    </row>
    <row r="289">
      <c r="N289">
        <f>((E289*F289*IF(D289="Weekend",1.25,IF(D289="Night",1.5,IF(D289="Bank Holiday",2,1))))+(G289*H289))</f>
        <v/>
      </c>
      <c r="O289">
        <f>(I289*J289)+K289+L289+M289</f>
        <v/>
      </c>
      <c r="P289">
        <f>N289-O289</f>
        <v/>
      </c>
    </row>
    <row r="290">
      <c r="N290">
        <f>((E290*F290*IF(D290="Weekend",1.25,IF(D290="Night",1.5,IF(D290="Bank Holiday",2,1))))+(G290*H290))</f>
        <v/>
      </c>
      <c r="O290">
        <f>(I290*J290)+K290+L290+M290</f>
        <v/>
      </c>
      <c r="P290">
        <f>N290-O290</f>
        <v/>
      </c>
    </row>
    <row r="291">
      <c r="N291">
        <f>((E291*F291*IF(D291="Weekend",1.25,IF(D291="Night",1.5,IF(D291="Bank Holiday",2,1))))+(G291*H291))</f>
        <v/>
      </c>
      <c r="O291">
        <f>(I291*J291)+K291+L291+M291</f>
        <v/>
      </c>
      <c r="P291">
        <f>N291-O291</f>
        <v/>
      </c>
    </row>
    <row r="292">
      <c r="N292">
        <f>((E292*F292*IF(D292="Weekend",1.25,IF(D292="Night",1.5,IF(D292="Bank Holiday",2,1))))+(G292*H292))</f>
        <v/>
      </c>
      <c r="O292">
        <f>(I292*J292)+K292+L292+M292</f>
        <v/>
      </c>
      <c r="P292">
        <f>N292-O292</f>
        <v/>
      </c>
    </row>
    <row r="293">
      <c r="N293">
        <f>((E293*F293*IF(D293="Weekend",1.25,IF(D293="Night",1.5,IF(D293="Bank Holiday",2,1))))+(G293*H293))</f>
        <v/>
      </c>
      <c r="O293">
        <f>(I293*J293)+K293+L293+M293</f>
        <v/>
      </c>
      <c r="P293">
        <f>N293-O293</f>
        <v/>
      </c>
    </row>
    <row r="294">
      <c r="N294">
        <f>((E294*F294*IF(D294="Weekend",1.25,IF(D294="Night",1.5,IF(D294="Bank Holiday",2,1))))+(G294*H294))</f>
        <v/>
      </c>
      <c r="O294">
        <f>(I294*J294)+K294+L294+M294</f>
        <v/>
      </c>
      <c r="P294">
        <f>N294-O294</f>
        <v/>
      </c>
    </row>
    <row r="295">
      <c r="N295">
        <f>((E295*F295*IF(D295="Weekend",1.25,IF(D295="Night",1.5,IF(D295="Bank Holiday",2,1))))+(G295*H295))</f>
        <v/>
      </c>
      <c r="O295">
        <f>(I295*J295)+K295+L295+M295</f>
        <v/>
      </c>
      <c r="P295">
        <f>N295-O295</f>
        <v/>
      </c>
    </row>
    <row r="296">
      <c r="N296">
        <f>((E296*F296*IF(D296="Weekend",1.25,IF(D296="Night",1.5,IF(D296="Bank Holiday",2,1))))+(G296*H296))</f>
        <v/>
      </c>
      <c r="O296">
        <f>(I296*J296)+K296+L296+M296</f>
        <v/>
      </c>
      <c r="P296">
        <f>N296-O296</f>
        <v/>
      </c>
    </row>
    <row r="297">
      <c r="N297">
        <f>((E297*F297*IF(D297="Weekend",1.25,IF(D297="Night",1.5,IF(D297="Bank Holiday",2,1))))+(G297*H297))</f>
        <v/>
      </c>
      <c r="O297">
        <f>(I297*J297)+K297+L297+M297</f>
        <v/>
      </c>
      <c r="P297">
        <f>N297-O297</f>
        <v/>
      </c>
    </row>
    <row r="298">
      <c r="N298">
        <f>((E298*F298*IF(D298="Weekend",1.25,IF(D298="Night",1.5,IF(D298="Bank Holiday",2,1))))+(G298*H298))</f>
        <v/>
      </c>
      <c r="O298">
        <f>(I298*J298)+K298+L298+M298</f>
        <v/>
      </c>
      <c r="P298">
        <f>N298-O298</f>
        <v/>
      </c>
    </row>
    <row r="299">
      <c r="N299">
        <f>((E299*F299*IF(D299="Weekend",1.25,IF(D299="Night",1.5,IF(D299="Bank Holiday",2,1))))+(G299*H299))</f>
        <v/>
      </c>
      <c r="O299">
        <f>(I299*J299)+K299+L299+M299</f>
        <v/>
      </c>
      <c r="P299">
        <f>N299-O299</f>
        <v/>
      </c>
    </row>
    <row r="300">
      <c r="N300">
        <f>((E300*F300*IF(D300="Weekend",1.25,IF(D300="Night",1.5,IF(D300="Bank Holiday",2,1))))+(G300*H300))</f>
        <v/>
      </c>
      <c r="O300">
        <f>(I300*J300)+K300+L300+M300</f>
        <v/>
      </c>
      <c r="P300">
        <f>N300-O300</f>
        <v/>
      </c>
    </row>
    <row r="301">
      <c r="N301">
        <f>((E301*F301*IF(D301="Weekend",1.25,IF(D301="Night",1.5,IF(D301="Bank Holiday",2,1))))+(G301*H301))</f>
        <v/>
      </c>
      <c r="O301">
        <f>(I301*J301)+K301+L301+M301</f>
        <v/>
      </c>
      <c r="P301">
        <f>N301-O301</f>
        <v/>
      </c>
    </row>
    <row r="302">
      <c r="N302">
        <f>((E302*F302*IF(D302="Weekend",1.25,IF(D302="Night",1.5,IF(D302="Bank Holiday",2,1))))+(G302*H302))</f>
        <v/>
      </c>
      <c r="O302">
        <f>(I302*J302)+K302+L302+M302</f>
        <v/>
      </c>
      <c r="P302">
        <f>N302-O302</f>
        <v/>
      </c>
    </row>
    <row r="303">
      <c r="N303">
        <f>((E303*F303*IF(D303="Weekend",1.25,IF(D303="Night",1.5,IF(D303="Bank Holiday",2,1))))+(G303*H303))</f>
        <v/>
      </c>
      <c r="O303">
        <f>(I303*J303)+K303+L303+M303</f>
        <v/>
      </c>
      <c r="P303">
        <f>N303-O303</f>
        <v/>
      </c>
    </row>
    <row r="304">
      <c r="N304">
        <f>((E304*F304*IF(D304="Weekend",1.25,IF(D304="Night",1.5,IF(D304="Bank Holiday",2,1))))+(G304*H304))</f>
        <v/>
      </c>
      <c r="O304">
        <f>(I304*J304)+K304+L304+M304</f>
        <v/>
      </c>
      <c r="P304">
        <f>N304-O304</f>
        <v/>
      </c>
    </row>
    <row r="305">
      <c r="N305">
        <f>((E305*F305*IF(D305="Weekend",1.25,IF(D305="Night",1.5,IF(D305="Bank Holiday",2,1))))+(G305*H305))</f>
        <v/>
      </c>
      <c r="O305">
        <f>(I305*J305)+K305+L305+M305</f>
        <v/>
      </c>
      <c r="P305">
        <f>N305-O305</f>
        <v/>
      </c>
    </row>
    <row r="306">
      <c r="N306">
        <f>((E306*F306*IF(D306="Weekend",1.25,IF(D306="Night",1.5,IF(D306="Bank Holiday",2,1))))+(G306*H306))</f>
        <v/>
      </c>
      <c r="O306">
        <f>(I306*J306)+K306+L306+M306</f>
        <v/>
      </c>
      <c r="P306">
        <f>N306-O306</f>
        <v/>
      </c>
    </row>
    <row r="307">
      <c r="N307">
        <f>((E307*F307*IF(D307="Weekend",1.25,IF(D307="Night",1.5,IF(D307="Bank Holiday",2,1))))+(G307*H307))</f>
        <v/>
      </c>
      <c r="O307">
        <f>(I307*J307)+K307+L307+M307</f>
        <v/>
      </c>
      <c r="P307">
        <f>N307-O307</f>
        <v/>
      </c>
    </row>
    <row r="308">
      <c r="N308">
        <f>((E308*F308*IF(D308="Weekend",1.25,IF(D308="Night",1.5,IF(D308="Bank Holiday",2,1))))+(G308*H308))</f>
        <v/>
      </c>
      <c r="O308">
        <f>(I308*J308)+K308+L308+M308</f>
        <v/>
      </c>
      <c r="P308">
        <f>N308-O308</f>
        <v/>
      </c>
    </row>
    <row r="309">
      <c r="N309">
        <f>((E309*F309*IF(D309="Weekend",1.25,IF(D309="Night",1.5,IF(D309="Bank Holiday",2,1))))+(G309*H309))</f>
        <v/>
      </c>
      <c r="O309">
        <f>(I309*J309)+K309+L309+M309</f>
        <v/>
      </c>
      <c r="P309">
        <f>N309-O309</f>
        <v/>
      </c>
    </row>
    <row r="310">
      <c r="N310">
        <f>((E310*F310*IF(D310="Weekend",1.25,IF(D310="Night",1.5,IF(D310="Bank Holiday",2,1))))+(G310*H310))</f>
        <v/>
      </c>
      <c r="O310">
        <f>(I310*J310)+K310+L310+M310</f>
        <v/>
      </c>
      <c r="P310">
        <f>N310-O310</f>
        <v/>
      </c>
    </row>
    <row r="311">
      <c r="N311">
        <f>((E311*F311*IF(D311="Weekend",1.25,IF(D311="Night",1.5,IF(D311="Bank Holiday",2,1))))+(G311*H311))</f>
        <v/>
      </c>
      <c r="O311">
        <f>(I311*J311)+K311+L311+M311</f>
        <v/>
      </c>
      <c r="P311">
        <f>N311-O311</f>
        <v/>
      </c>
    </row>
    <row r="312">
      <c r="N312">
        <f>((E312*F312*IF(D312="Weekend",1.25,IF(D312="Night",1.5,IF(D312="Bank Holiday",2,1))))+(G312*H312))</f>
        <v/>
      </c>
      <c r="O312">
        <f>(I312*J312)+K312+L312+M312</f>
        <v/>
      </c>
      <c r="P312">
        <f>N312-O312</f>
        <v/>
      </c>
    </row>
    <row r="313">
      <c r="N313">
        <f>((E313*F313*IF(D313="Weekend",1.25,IF(D313="Night",1.5,IF(D313="Bank Holiday",2,1))))+(G313*H313))</f>
        <v/>
      </c>
      <c r="O313">
        <f>(I313*J313)+K313+L313+M313</f>
        <v/>
      </c>
      <c r="P313">
        <f>N313-O313</f>
        <v/>
      </c>
    </row>
    <row r="314">
      <c r="N314">
        <f>((E314*F314*IF(D314="Weekend",1.25,IF(D314="Night",1.5,IF(D314="Bank Holiday",2,1))))+(G314*H314))</f>
        <v/>
      </c>
      <c r="O314">
        <f>(I314*J314)+K314+L314+M314</f>
        <v/>
      </c>
      <c r="P314">
        <f>N314-O314</f>
        <v/>
      </c>
    </row>
    <row r="315">
      <c r="N315">
        <f>((E315*F315*IF(D315="Weekend",1.25,IF(D315="Night",1.5,IF(D315="Bank Holiday",2,1))))+(G315*H315))</f>
        <v/>
      </c>
      <c r="O315">
        <f>(I315*J315)+K315+L315+M315</f>
        <v/>
      </c>
      <c r="P315">
        <f>N315-O315</f>
        <v/>
      </c>
    </row>
    <row r="316">
      <c r="N316">
        <f>((E316*F316*IF(D316="Weekend",1.25,IF(D316="Night",1.5,IF(D316="Bank Holiday",2,1))))+(G316*H316))</f>
        <v/>
      </c>
      <c r="O316">
        <f>(I316*J316)+K316+L316+M316</f>
        <v/>
      </c>
      <c r="P316">
        <f>N316-O316</f>
        <v/>
      </c>
    </row>
    <row r="317">
      <c r="N317">
        <f>((E317*F317*IF(D317="Weekend",1.25,IF(D317="Night",1.5,IF(D317="Bank Holiday",2,1))))+(G317*H317))</f>
        <v/>
      </c>
      <c r="O317">
        <f>(I317*J317)+K317+L317+M317</f>
        <v/>
      </c>
      <c r="P317">
        <f>N317-O317</f>
        <v/>
      </c>
    </row>
    <row r="318">
      <c r="N318">
        <f>((E318*F318*IF(D318="Weekend",1.25,IF(D318="Night",1.5,IF(D318="Bank Holiday",2,1))))+(G318*H318))</f>
        <v/>
      </c>
      <c r="O318">
        <f>(I318*J318)+K318+L318+M318</f>
        <v/>
      </c>
      <c r="P318">
        <f>N318-O318</f>
        <v/>
      </c>
    </row>
    <row r="319">
      <c r="N319">
        <f>((E319*F319*IF(D319="Weekend",1.25,IF(D319="Night",1.5,IF(D319="Bank Holiday",2,1))))+(G319*H319))</f>
        <v/>
      </c>
      <c r="O319">
        <f>(I319*J319)+K319+L319+M319</f>
        <v/>
      </c>
      <c r="P319">
        <f>N319-O319</f>
        <v/>
      </c>
    </row>
    <row r="320">
      <c r="N320">
        <f>((E320*F320*IF(D320="Weekend",1.25,IF(D320="Night",1.5,IF(D320="Bank Holiday",2,1))))+(G320*H320))</f>
        <v/>
      </c>
      <c r="O320">
        <f>(I320*J320)+K320+L320+M320</f>
        <v/>
      </c>
      <c r="P320">
        <f>N320-O320</f>
        <v/>
      </c>
    </row>
    <row r="321">
      <c r="N321">
        <f>((E321*F321*IF(D321="Weekend",1.25,IF(D321="Night",1.5,IF(D321="Bank Holiday",2,1))))+(G321*H321))</f>
        <v/>
      </c>
      <c r="O321">
        <f>(I321*J321)+K321+L321+M321</f>
        <v/>
      </c>
      <c r="P321">
        <f>N321-O321</f>
        <v/>
      </c>
    </row>
    <row r="322">
      <c r="N322">
        <f>((E322*F322*IF(D322="Weekend",1.25,IF(D322="Night",1.5,IF(D322="Bank Holiday",2,1))))+(G322*H322))</f>
        <v/>
      </c>
      <c r="O322">
        <f>(I322*J322)+K322+L322+M322</f>
        <v/>
      </c>
      <c r="P322">
        <f>N322-O322</f>
        <v/>
      </c>
    </row>
    <row r="323">
      <c r="N323">
        <f>((E323*F323*IF(D323="Weekend",1.25,IF(D323="Night",1.5,IF(D323="Bank Holiday",2,1))))+(G323*H323))</f>
        <v/>
      </c>
      <c r="O323">
        <f>(I323*J323)+K323+L323+M323</f>
        <v/>
      </c>
      <c r="P323">
        <f>N323-O323</f>
        <v/>
      </c>
    </row>
    <row r="324">
      <c r="N324">
        <f>((E324*F324*IF(D324="Weekend",1.25,IF(D324="Night",1.5,IF(D324="Bank Holiday",2,1))))+(G324*H324))</f>
        <v/>
      </c>
      <c r="O324">
        <f>(I324*J324)+K324+L324+M324</f>
        <v/>
      </c>
      <c r="P324">
        <f>N324-O324</f>
        <v/>
      </c>
    </row>
    <row r="325">
      <c r="N325">
        <f>((E325*F325*IF(D325="Weekend",1.25,IF(D325="Night",1.5,IF(D325="Bank Holiday",2,1))))+(G325*H325))</f>
        <v/>
      </c>
      <c r="O325">
        <f>(I325*J325)+K325+L325+M325</f>
        <v/>
      </c>
      <c r="P325">
        <f>N325-O325</f>
        <v/>
      </c>
    </row>
    <row r="326">
      <c r="N326">
        <f>((E326*F326*IF(D326="Weekend",1.25,IF(D326="Night",1.5,IF(D326="Bank Holiday",2,1))))+(G326*H326))</f>
        <v/>
      </c>
      <c r="O326">
        <f>(I326*J326)+K326+L326+M326</f>
        <v/>
      </c>
      <c r="P326">
        <f>N326-O326</f>
        <v/>
      </c>
    </row>
    <row r="327">
      <c r="N327">
        <f>((E327*F327*IF(D327="Weekend",1.25,IF(D327="Night",1.5,IF(D327="Bank Holiday",2,1))))+(G327*H327))</f>
        <v/>
      </c>
      <c r="O327">
        <f>(I327*J327)+K327+L327+M327</f>
        <v/>
      </c>
      <c r="P327">
        <f>N327-O327</f>
        <v/>
      </c>
    </row>
    <row r="328">
      <c r="N328">
        <f>((E328*F328*IF(D328="Weekend",1.25,IF(D328="Night",1.5,IF(D328="Bank Holiday",2,1))))+(G328*H328))</f>
        <v/>
      </c>
      <c r="O328">
        <f>(I328*J328)+K328+L328+M328</f>
        <v/>
      </c>
      <c r="P328">
        <f>N328-O328</f>
        <v/>
      </c>
    </row>
    <row r="329">
      <c r="N329">
        <f>((E329*F329*IF(D329="Weekend",1.25,IF(D329="Night",1.5,IF(D329="Bank Holiday",2,1))))+(G329*H329))</f>
        <v/>
      </c>
      <c r="O329">
        <f>(I329*J329)+K329+L329+M329</f>
        <v/>
      </c>
      <c r="P329">
        <f>N329-O329</f>
        <v/>
      </c>
    </row>
    <row r="330">
      <c r="N330">
        <f>((E330*F330*IF(D330="Weekend",1.25,IF(D330="Night",1.5,IF(D330="Bank Holiday",2,1))))+(G330*H330))</f>
        <v/>
      </c>
      <c r="O330">
        <f>(I330*J330)+K330+L330+M330</f>
        <v/>
      </c>
      <c r="P330">
        <f>N330-O330</f>
        <v/>
      </c>
    </row>
    <row r="331">
      <c r="N331">
        <f>((E331*F331*IF(D331="Weekend",1.25,IF(D331="Night",1.5,IF(D331="Bank Holiday",2,1))))+(G331*H331))</f>
        <v/>
      </c>
      <c r="O331">
        <f>(I331*J331)+K331+L331+M331</f>
        <v/>
      </c>
      <c r="P331">
        <f>N331-O331</f>
        <v/>
      </c>
    </row>
    <row r="332">
      <c r="N332">
        <f>((E332*F332*IF(D332="Weekend",1.25,IF(D332="Night",1.5,IF(D332="Bank Holiday",2,1))))+(G332*H332))</f>
        <v/>
      </c>
      <c r="O332">
        <f>(I332*J332)+K332+L332+M332</f>
        <v/>
      </c>
      <c r="P332">
        <f>N332-O332</f>
        <v/>
      </c>
    </row>
    <row r="333">
      <c r="N333">
        <f>((E333*F333*IF(D333="Weekend",1.25,IF(D333="Night",1.5,IF(D333="Bank Holiday",2,1))))+(G333*H333))</f>
        <v/>
      </c>
      <c r="O333">
        <f>(I333*J333)+K333+L333+M333</f>
        <v/>
      </c>
      <c r="P333">
        <f>N333-O333</f>
        <v/>
      </c>
    </row>
    <row r="334">
      <c r="N334">
        <f>((E334*F334*IF(D334="Weekend",1.25,IF(D334="Night",1.5,IF(D334="Bank Holiday",2,1))))+(G334*H334))</f>
        <v/>
      </c>
      <c r="O334">
        <f>(I334*J334)+K334+L334+M334</f>
        <v/>
      </c>
      <c r="P334">
        <f>N334-O334</f>
        <v/>
      </c>
    </row>
    <row r="335">
      <c r="N335">
        <f>((E335*F335*IF(D335="Weekend",1.25,IF(D335="Night",1.5,IF(D335="Bank Holiday",2,1))))+(G335*H335))</f>
        <v/>
      </c>
      <c r="O335">
        <f>(I335*J335)+K335+L335+M335</f>
        <v/>
      </c>
      <c r="P335">
        <f>N335-O335</f>
        <v/>
      </c>
    </row>
    <row r="336">
      <c r="N336">
        <f>((E336*F336*IF(D336="Weekend",1.25,IF(D336="Night",1.5,IF(D336="Bank Holiday",2,1))))+(G336*H336))</f>
        <v/>
      </c>
      <c r="O336">
        <f>(I336*J336)+K336+L336+M336</f>
        <v/>
      </c>
      <c r="P336">
        <f>N336-O336</f>
        <v/>
      </c>
    </row>
    <row r="337">
      <c r="N337">
        <f>((E337*F337*IF(D337="Weekend",1.25,IF(D337="Night",1.5,IF(D337="Bank Holiday",2,1))))+(G337*H337))</f>
        <v/>
      </c>
      <c r="O337">
        <f>(I337*J337)+K337+L337+M337</f>
        <v/>
      </c>
      <c r="P337">
        <f>N337-O337</f>
        <v/>
      </c>
    </row>
    <row r="338">
      <c r="N338">
        <f>((E338*F338*IF(D338="Weekend",1.25,IF(D338="Night",1.5,IF(D338="Bank Holiday",2,1))))+(G338*H338))</f>
        <v/>
      </c>
      <c r="O338">
        <f>(I338*J338)+K338+L338+M338</f>
        <v/>
      </c>
      <c r="P338">
        <f>N338-O338</f>
        <v/>
      </c>
    </row>
    <row r="339">
      <c r="N339">
        <f>((E339*F339*IF(D339="Weekend",1.25,IF(D339="Night",1.5,IF(D339="Bank Holiday",2,1))))+(G339*H339))</f>
        <v/>
      </c>
      <c r="O339">
        <f>(I339*J339)+K339+L339+M339</f>
        <v/>
      </c>
      <c r="P339">
        <f>N339-O339</f>
        <v/>
      </c>
    </row>
    <row r="340">
      <c r="N340">
        <f>((E340*F340*IF(D340="Weekend",1.25,IF(D340="Night",1.5,IF(D340="Bank Holiday",2,1))))+(G340*H340))</f>
        <v/>
      </c>
      <c r="O340">
        <f>(I340*J340)+K340+L340+M340</f>
        <v/>
      </c>
      <c r="P340">
        <f>N340-O340</f>
        <v/>
      </c>
    </row>
    <row r="341">
      <c r="N341">
        <f>((E341*F341*IF(D341="Weekend",1.25,IF(D341="Night",1.5,IF(D341="Bank Holiday",2,1))))+(G341*H341))</f>
        <v/>
      </c>
      <c r="O341">
        <f>(I341*J341)+K341+L341+M341</f>
        <v/>
      </c>
      <c r="P341">
        <f>N341-O341</f>
        <v/>
      </c>
    </row>
    <row r="342">
      <c r="N342">
        <f>((E342*F342*IF(D342="Weekend",1.25,IF(D342="Night",1.5,IF(D342="Bank Holiday",2,1))))+(G342*H342))</f>
        <v/>
      </c>
      <c r="O342">
        <f>(I342*J342)+K342+L342+M342</f>
        <v/>
      </c>
      <c r="P342">
        <f>N342-O342</f>
        <v/>
      </c>
    </row>
    <row r="343">
      <c r="N343">
        <f>((E343*F343*IF(D343="Weekend",1.25,IF(D343="Night",1.5,IF(D343="Bank Holiday",2,1))))+(G343*H343))</f>
        <v/>
      </c>
      <c r="O343">
        <f>(I343*J343)+K343+L343+M343</f>
        <v/>
      </c>
      <c r="P343">
        <f>N343-O343</f>
        <v/>
      </c>
    </row>
    <row r="344">
      <c r="N344">
        <f>((E344*F344*IF(D344="Weekend",1.25,IF(D344="Night",1.5,IF(D344="Bank Holiday",2,1))))+(G344*H344))</f>
        <v/>
      </c>
      <c r="O344">
        <f>(I344*J344)+K344+L344+M344</f>
        <v/>
      </c>
      <c r="P344">
        <f>N344-O344</f>
        <v/>
      </c>
    </row>
    <row r="345">
      <c r="N345">
        <f>((E345*F345*IF(D345="Weekend",1.25,IF(D345="Night",1.5,IF(D345="Bank Holiday",2,1))))+(G345*H345))</f>
        <v/>
      </c>
      <c r="O345">
        <f>(I345*J345)+K345+L345+M345</f>
        <v/>
      </c>
      <c r="P345">
        <f>N345-O345</f>
        <v/>
      </c>
    </row>
    <row r="346">
      <c r="N346">
        <f>((E346*F346*IF(D346="Weekend",1.25,IF(D346="Night",1.5,IF(D346="Bank Holiday",2,1))))+(G346*H346))</f>
        <v/>
      </c>
      <c r="O346">
        <f>(I346*J346)+K346+L346+M346</f>
        <v/>
      </c>
      <c r="P346">
        <f>N346-O346</f>
        <v/>
      </c>
    </row>
    <row r="347">
      <c r="N347">
        <f>((E347*F347*IF(D347="Weekend",1.25,IF(D347="Night",1.5,IF(D347="Bank Holiday",2,1))))+(G347*H347))</f>
        <v/>
      </c>
      <c r="O347">
        <f>(I347*J347)+K347+L347+M347</f>
        <v/>
      </c>
      <c r="P347">
        <f>N347-O347</f>
        <v/>
      </c>
    </row>
    <row r="348">
      <c r="N348">
        <f>((E348*F348*IF(D348="Weekend",1.25,IF(D348="Night",1.5,IF(D348="Bank Holiday",2,1))))+(G348*H348))</f>
        <v/>
      </c>
      <c r="O348">
        <f>(I348*J348)+K348+L348+M348</f>
        <v/>
      </c>
      <c r="P348">
        <f>N348-O348</f>
        <v/>
      </c>
    </row>
    <row r="349">
      <c r="N349">
        <f>((E349*F349*IF(D349="Weekend",1.25,IF(D349="Night",1.5,IF(D349="Bank Holiday",2,1))))+(G349*H349))</f>
        <v/>
      </c>
      <c r="O349">
        <f>(I349*J349)+K349+L349+M349</f>
        <v/>
      </c>
      <c r="P349">
        <f>N349-O349</f>
        <v/>
      </c>
    </row>
    <row r="350">
      <c r="N350">
        <f>((E350*F350*IF(D350="Weekend",1.25,IF(D350="Night",1.5,IF(D350="Bank Holiday",2,1))))+(G350*H350))</f>
        <v/>
      </c>
      <c r="O350">
        <f>(I350*J350)+K350+L350+M350</f>
        <v/>
      </c>
      <c r="P350">
        <f>N350-O350</f>
        <v/>
      </c>
    </row>
    <row r="351">
      <c r="N351">
        <f>((E351*F351*IF(D351="Weekend",1.25,IF(D351="Night",1.5,IF(D351="Bank Holiday",2,1))))+(G351*H351))</f>
        <v/>
      </c>
      <c r="O351">
        <f>(I351*J351)+K351+L351+M351</f>
        <v/>
      </c>
      <c r="P351">
        <f>N351-O351</f>
        <v/>
      </c>
    </row>
    <row r="352">
      <c r="N352">
        <f>((E352*F352*IF(D352="Weekend",1.25,IF(D352="Night",1.5,IF(D352="Bank Holiday",2,1))))+(G352*H352))</f>
        <v/>
      </c>
      <c r="O352">
        <f>(I352*J352)+K352+L352+M352</f>
        <v/>
      </c>
      <c r="P352">
        <f>N352-O352</f>
        <v/>
      </c>
    </row>
    <row r="353">
      <c r="N353">
        <f>((E353*F353*IF(D353="Weekend",1.25,IF(D353="Night",1.5,IF(D353="Bank Holiday",2,1))))+(G353*H353))</f>
        <v/>
      </c>
      <c r="O353">
        <f>(I353*J353)+K353+L353+M353</f>
        <v/>
      </c>
      <c r="P353">
        <f>N353-O353</f>
        <v/>
      </c>
    </row>
    <row r="354">
      <c r="N354">
        <f>((E354*F354*IF(D354="Weekend",1.25,IF(D354="Night",1.5,IF(D354="Bank Holiday",2,1))))+(G354*H354))</f>
        <v/>
      </c>
      <c r="O354">
        <f>(I354*J354)+K354+L354+M354</f>
        <v/>
      </c>
      <c r="P354">
        <f>N354-O354</f>
        <v/>
      </c>
    </row>
    <row r="355">
      <c r="N355">
        <f>((E355*F355*IF(D355="Weekend",1.25,IF(D355="Night",1.5,IF(D355="Bank Holiday",2,1))))+(G355*H355))</f>
        <v/>
      </c>
      <c r="O355">
        <f>(I355*J355)+K355+L355+M355</f>
        <v/>
      </c>
      <c r="P355">
        <f>N355-O355</f>
        <v/>
      </c>
    </row>
    <row r="356">
      <c r="N356">
        <f>((E356*F356*IF(D356="Weekend",1.25,IF(D356="Night",1.5,IF(D356="Bank Holiday",2,1))))+(G356*H356))</f>
        <v/>
      </c>
      <c r="O356">
        <f>(I356*J356)+K356+L356+M356</f>
        <v/>
      </c>
      <c r="P356">
        <f>N356-O356</f>
        <v/>
      </c>
    </row>
    <row r="357">
      <c r="N357">
        <f>((E357*F357*IF(D357="Weekend",1.25,IF(D357="Night",1.5,IF(D357="Bank Holiday",2,1))))+(G357*H357))</f>
        <v/>
      </c>
      <c r="O357">
        <f>(I357*J357)+K357+L357+M357</f>
        <v/>
      </c>
      <c r="P357">
        <f>N357-O357</f>
        <v/>
      </c>
    </row>
    <row r="358">
      <c r="N358">
        <f>((E358*F358*IF(D358="Weekend",1.25,IF(D358="Night",1.5,IF(D358="Bank Holiday",2,1))))+(G358*H358))</f>
        <v/>
      </c>
      <c r="O358">
        <f>(I358*J358)+K358+L358+M358</f>
        <v/>
      </c>
      <c r="P358">
        <f>N358-O358</f>
        <v/>
      </c>
    </row>
    <row r="359">
      <c r="N359">
        <f>((E359*F359*IF(D359="Weekend",1.25,IF(D359="Night",1.5,IF(D359="Bank Holiday",2,1))))+(G359*H359))</f>
        <v/>
      </c>
      <c r="O359">
        <f>(I359*J359)+K359+L359+M359</f>
        <v/>
      </c>
      <c r="P359">
        <f>N359-O359</f>
        <v/>
      </c>
    </row>
    <row r="360">
      <c r="N360">
        <f>((E360*F360*IF(D360="Weekend",1.25,IF(D360="Night",1.5,IF(D360="Bank Holiday",2,1))))+(G360*H360))</f>
        <v/>
      </c>
      <c r="O360">
        <f>(I360*J360)+K360+L360+M360</f>
        <v/>
      </c>
      <c r="P360">
        <f>N360-O360</f>
        <v/>
      </c>
    </row>
    <row r="361">
      <c r="N361">
        <f>((E361*F361*IF(D361="Weekend",1.25,IF(D361="Night",1.5,IF(D361="Bank Holiday",2,1))))+(G361*H361))</f>
        <v/>
      </c>
      <c r="O361">
        <f>(I361*J361)+K361+L361+M361</f>
        <v/>
      </c>
      <c r="P361">
        <f>N361-O361</f>
        <v/>
      </c>
    </row>
    <row r="362">
      <c r="N362">
        <f>((E362*F362*IF(D362="Weekend",1.25,IF(D362="Night",1.5,IF(D362="Bank Holiday",2,1))))+(G362*H362))</f>
        <v/>
      </c>
      <c r="O362">
        <f>(I362*J362)+K362+L362+M362</f>
        <v/>
      </c>
      <c r="P362">
        <f>N362-O362</f>
        <v/>
      </c>
    </row>
    <row r="363">
      <c r="N363">
        <f>((E363*F363*IF(D363="Weekend",1.25,IF(D363="Night",1.5,IF(D363="Bank Holiday",2,1))))+(G363*H363))</f>
        <v/>
      </c>
      <c r="O363">
        <f>(I363*J363)+K363+L363+M363</f>
        <v/>
      </c>
      <c r="P363">
        <f>N363-O363</f>
        <v/>
      </c>
    </row>
    <row r="364">
      <c r="N364">
        <f>((E364*F364*IF(D364="Weekend",1.25,IF(D364="Night",1.5,IF(D364="Bank Holiday",2,1))))+(G364*H364))</f>
        <v/>
      </c>
      <c r="O364">
        <f>(I364*J364)+K364+L364+M364</f>
        <v/>
      </c>
      <c r="P364">
        <f>N364-O364</f>
        <v/>
      </c>
    </row>
    <row r="365">
      <c r="N365">
        <f>((E365*F365*IF(D365="Weekend",1.25,IF(D365="Night",1.5,IF(D365="Bank Holiday",2,1))))+(G365*H365))</f>
        <v/>
      </c>
      <c r="O365">
        <f>(I365*J365)+K365+L365+M365</f>
        <v/>
      </c>
      <c r="P365">
        <f>N365-O365</f>
        <v/>
      </c>
    </row>
    <row r="366">
      <c r="N366">
        <f>((E366*F366*IF(D366="Weekend",1.25,IF(D366="Night",1.5,IF(D366="Bank Holiday",2,1))))+(G366*H366))</f>
        <v/>
      </c>
      <c r="O366">
        <f>(I366*J366)+K366+L366+M366</f>
        <v/>
      </c>
      <c r="P366">
        <f>N366-O366</f>
        <v/>
      </c>
    </row>
    <row r="367">
      <c r="N367">
        <f>((E367*F367*IF(D367="Weekend",1.25,IF(D367="Night",1.5,IF(D367="Bank Holiday",2,1))))+(G367*H367))</f>
        <v/>
      </c>
      <c r="O367">
        <f>(I367*J367)+K367+L367+M367</f>
        <v/>
      </c>
      <c r="P367">
        <f>N367-O367</f>
        <v/>
      </c>
    </row>
    <row r="368">
      <c r="N368">
        <f>((E368*F368*IF(D368="Weekend",1.25,IF(D368="Night",1.5,IF(D368="Bank Holiday",2,1))))+(G368*H368))</f>
        <v/>
      </c>
      <c r="O368">
        <f>(I368*J368)+K368+L368+M368</f>
        <v/>
      </c>
      <c r="P368">
        <f>N368-O368</f>
        <v/>
      </c>
    </row>
    <row r="369">
      <c r="N369">
        <f>((E369*F369*IF(D369="Weekend",1.25,IF(D369="Night",1.5,IF(D369="Bank Holiday",2,1))))+(G369*H369))</f>
        <v/>
      </c>
      <c r="O369">
        <f>(I369*J369)+K369+L369+M369</f>
        <v/>
      </c>
      <c r="P369">
        <f>N369-O369</f>
        <v/>
      </c>
    </row>
    <row r="370">
      <c r="N370">
        <f>((E370*F370*IF(D370="Weekend",1.25,IF(D370="Night",1.5,IF(D370="Bank Holiday",2,1))))+(G370*H370))</f>
        <v/>
      </c>
      <c r="O370">
        <f>(I370*J370)+K370+L370+M370</f>
        <v/>
      </c>
      <c r="P370">
        <f>N370-O370</f>
        <v/>
      </c>
    </row>
    <row r="371">
      <c r="N371">
        <f>((E371*F371*IF(D371="Weekend",1.25,IF(D371="Night",1.5,IF(D371="Bank Holiday",2,1))))+(G371*H371))</f>
        <v/>
      </c>
      <c r="O371">
        <f>(I371*J371)+K371+L371+M371</f>
        <v/>
      </c>
      <c r="P371">
        <f>N371-O371</f>
        <v/>
      </c>
    </row>
    <row r="372">
      <c r="N372">
        <f>((E372*F372*IF(D372="Weekend",1.25,IF(D372="Night",1.5,IF(D372="Bank Holiday",2,1))))+(G372*H372))</f>
        <v/>
      </c>
      <c r="O372">
        <f>(I372*J372)+K372+L372+M372</f>
        <v/>
      </c>
      <c r="P372">
        <f>N372-O372</f>
        <v/>
      </c>
    </row>
    <row r="373">
      <c r="N373">
        <f>((E373*F373*IF(D373="Weekend",1.25,IF(D373="Night",1.5,IF(D373="Bank Holiday",2,1))))+(G373*H373))</f>
        <v/>
      </c>
      <c r="O373">
        <f>(I373*J373)+K373+L373+M373</f>
        <v/>
      </c>
      <c r="P373">
        <f>N373-O373</f>
        <v/>
      </c>
    </row>
    <row r="374">
      <c r="N374">
        <f>((E374*F374*IF(D374="Weekend",1.25,IF(D374="Night",1.5,IF(D374="Bank Holiday",2,1))))+(G374*H374))</f>
        <v/>
      </c>
      <c r="O374">
        <f>(I374*J374)+K374+L374+M374</f>
        <v/>
      </c>
      <c r="P374">
        <f>N374-O374</f>
        <v/>
      </c>
    </row>
    <row r="375">
      <c r="N375">
        <f>((E375*F375*IF(D375="Weekend",1.25,IF(D375="Night",1.5,IF(D375="Bank Holiday",2,1))))+(G375*H375))</f>
        <v/>
      </c>
      <c r="O375">
        <f>(I375*J375)+K375+L375+M375</f>
        <v/>
      </c>
      <c r="P375">
        <f>N375-O375</f>
        <v/>
      </c>
    </row>
    <row r="376">
      <c r="N376">
        <f>((E376*F376*IF(D376="Weekend",1.25,IF(D376="Night",1.5,IF(D376="Bank Holiday",2,1))))+(G376*H376))</f>
        <v/>
      </c>
      <c r="O376">
        <f>(I376*J376)+K376+L376+M376</f>
        <v/>
      </c>
      <c r="P376">
        <f>N376-O376</f>
        <v/>
      </c>
    </row>
    <row r="377">
      <c r="N377">
        <f>((E377*F377*IF(D377="Weekend",1.25,IF(D377="Night",1.5,IF(D377="Bank Holiday",2,1))))+(G377*H377))</f>
        <v/>
      </c>
      <c r="O377">
        <f>(I377*J377)+K377+L377+M377</f>
        <v/>
      </c>
      <c r="P377">
        <f>N377-O377</f>
        <v/>
      </c>
    </row>
    <row r="378">
      <c r="N378">
        <f>((E378*F378*IF(D378="Weekend",1.25,IF(D378="Night",1.5,IF(D378="Bank Holiday",2,1))))+(G378*H378))</f>
        <v/>
      </c>
      <c r="O378">
        <f>(I378*J378)+K378+L378+M378</f>
        <v/>
      </c>
      <c r="P378">
        <f>N378-O378</f>
        <v/>
      </c>
    </row>
    <row r="379">
      <c r="N379">
        <f>((E379*F379*IF(D379="Weekend",1.25,IF(D379="Night",1.5,IF(D379="Bank Holiday",2,1))))+(G379*H379))</f>
        <v/>
      </c>
      <c r="O379">
        <f>(I379*J379)+K379+L379+M379</f>
        <v/>
      </c>
      <c r="P379">
        <f>N379-O379</f>
        <v/>
      </c>
    </row>
    <row r="380">
      <c r="N380">
        <f>((E380*F380*IF(D380="Weekend",1.25,IF(D380="Night",1.5,IF(D380="Bank Holiday",2,1))))+(G380*H380))</f>
        <v/>
      </c>
      <c r="O380">
        <f>(I380*J380)+K380+L380+M380</f>
        <v/>
      </c>
      <c r="P380">
        <f>N380-O380</f>
        <v/>
      </c>
    </row>
    <row r="381">
      <c r="N381">
        <f>((E381*F381*IF(D381="Weekend",1.25,IF(D381="Night",1.5,IF(D381="Bank Holiday",2,1))))+(G381*H381))</f>
        <v/>
      </c>
      <c r="O381">
        <f>(I381*J381)+K381+L381+M381</f>
        <v/>
      </c>
      <c r="P381">
        <f>N381-O381</f>
        <v/>
      </c>
    </row>
    <row r="382">
      <c r="N382">
        <f>((E382*F382*IF(D382="Weekend",1.25,IF(D382="Night",1.5,IF(D382="Bank Holiday",2,1))))+(G382*H382))</f>
        <v/>
      </c>
      <c r="O382">
        <f>(I382*J382)+K382+L382+M382</f>
        <v/>
      </c>
      <c r="P382">
        <f>N382-O382</f>
        <v/>
      </c>
    </row>
    <row r="383">
      <c r="N383">
        <f>((E383*F383*IF(D383="Weekend",1.25,IF(D383="Night",1.5,IF(D383="Bank Holiday",2,1))))+(G383*H383))</f>
        <v/>
      </c>
      <c r="O383">
        <f>(I383*J383)+K383+L383+M383</f>
        <v/>
      </c>
      <c r="P383">
        <f>N383-O383</f>
        <v/>
      </c>
    </row>
    <row r="384">
      <c r="N384">
        <f>((E384*F384*IF(D384="Weekend",1.25,IF(D384="Night",1.5,IF(D384="Bank Holiday",2,1))))+(G384*H384))</f>
        <v/>
      </c>
      <c r="O384">
        <f>(I384*J384)+K384+L384+M384</f>
        <v/>
      </c>
      <c r="P384">
        <f>N384-O384</f>
        <v/>
      </c>
    </row>
    <row r="385">
      <c r="N385">
        <f>((E385*F385*IF(D385="Weekend",1.25,IF(D385="Night",1.5,IF(D385="Bank Holiday",2,1))))+(G385*H385))</f>
        <v/>
      </c>
      <c r="O385">
        <f>(I385*J385)+K385+L385+M385</f>
        <v/>
      </c>
      <c r="P385">
        <f>N385-O385</f>
        <v/>
      </c>
    </row>
    <row r="386">
      <c r="N386">
        <f>((E386*F386*IF(D386="Weekend",1.25,IF(D386="Night",1.5,IF(D386="Bank Holiday",2,1))))+(G386*H386))</f>
        <v/>
      </c>
      <c r="O386">
        <f>(I386*J386)+K386+L386+M386</f>
        <v/>
      </c>
      <c r="P386">
        <f>N386-O386</f>
        <v/>
      </c>
    </row>
    <row r="387">
      <c r="N387">
        <f>((E387*F387*IF(D387="Weekend",1.25,IF(D387="Night",1.5,IF(D387="Bank Holiday",2,1))))+(G387*H387))</f>
        <v/>
      </c>
      <c r="O387">
        <f>(I387*J387)+K387+L387+M387</f>
        <v/>
      </c>
      <c r="P387">
        <f>N387-O387</f>
        <v/>
      </c>
    </row>
    <row r="388">
      <c r="N388">
        <f>((E388*F388*IF(D388="Weekend",1.25,IF(D388="Night",1.5,IF(D388="Bank Holiday",2,1))))+(G388*H388))</f>
        <v/>
      </c>
      <c r="O388">
        <f>(I388*J388)+K388+L388+M388</f>
        <v/>
      </c>
      <c r="P388">
        <f>N388-O388</f>
        <v/>
      </c>
    </row>
    <row r="389">
      <c r="N389">
        <f>((E389*F389*IF(D389="Weekend",1.25,IF(D389="Night",1.5,IF(D389="Bank Holiday",2,1))))+(G389*H389))</f>
        <v/>
      </c>
      <c r="O389">
        <f>(I389*J389)+K389+L389+M389</f>
        <v/>
      </c>
      <c r="P389">
        <f>N389-O389</f>
        <v/>
      </c>
    </row>
    <row r="390">
      <c r="N390">
        <f>((E390*F390*IF(D390="Weekend",1.25,IF(D390="Night",1.5,IF(D390="Bank Holiday",2,1))))+(G390*H390))</f>
        <v/>
      </c>
      <c r="O390">
        <f>(I390*J390)+K390+L390+M390</f>
        <v/>
      </c>
      <c r="P390">
        <f>N390-O390</f>
        <v/>
      </c>
    </row>
    <row r="391">
      <c r="N391">
        <f>((E391*F391*IF(D391="Weekend",1.25,IF(D391="Night",1.5,IF(D391="Bank Holiday",2,1))))+(G391*H391))</f>
        <v/>
      </c>
      <c r="O391">
        <f>(I391*J391)+K391+L391+M391</f>
        <v/>
      </c>
      <c r="P391">
        <f>N391-O391</f>
        <v/>
      </c>
    </row>
    <row r="392">
      <c r="N392">
        <f>((E392*F392*IF(D392="Weekend",1.25,IF(D392="Night",1.5,IF(D392="Bank Holiday",2,1))))+(G392*H392))</f>
        <v/>
      </c>
      <c r="O392">
        <f>(I392*J392)+K392+L392+M392</f>
        <v/>
      </c>
      <c r="P392">
        <f>N392-O392</f>
        <v/>
      </c>
    </row>
    <row r="393">
      <c r="N393">
        <f>((E393*F393*IF(D393="Weekend",1.25,IF(D393="Night",1.5,IF(D393="Bank Holiday",2,1))))+(G393*H393))</f>
        <v/>
      </c>
      <c r="O393">
        <f>(I393*J393)+K393+L393+M393</f>
        <v/>
      </c>
      <c r="P393">
        <f>N393-O393</f>
        <v/>
      </c>
    </row>
    <row r="394">
      <c r="N394">
        <f>((E394*F394*IF(D394="Weekend",1.25,IF(D394="Night",1.5,IF(D394="Bank Holiday",2,1))))+(G394*H394))</f>
        <v/>
      </c>
      <c r="O394">
        <f>(I394*J394)+K394+L394+M394</f>
        <v/>
      </c>
      <c r="P394">
        <f>N394-O394</f>
        <v/>
      </c>
    </row>
    <row r="395">
      <c r="N395">
        <f>((E395*F395*IF(D395="Weekend",1.25,IF(D395="Night",1.5,IF(D395="Bank Holiday",2,1))))+(G395*H395))</f>
        <v/>
      </c>
      <c r="O395">
        <f>(I395*J395)+K395+L395+M395</f>
        <v/>
      </c>
      <c r="P395">
        <f>N395-O395</f>
        <v/>
      </c>
    </row>
    <row r="396">
      <c r="N396">
        <f>((E396*F396*IF(D396="Weekend",1.25,IF(D396="Night",1.5,IF(D396="Bank Holiday",2,1))))+(G396*H396))</f>
        <v/>
      </c>
      <c r="O396">
        <f>(I396*J396)+K396+L396+M396</f>
        <v/>
      </c>
      <c r="P396">
        <f>N396-O396</f>
        <v/>
      </c>
    </row>
    <row r="397">
      <c r="N397">
        <f>((E397*F397*IF(D397="Weekend",1.25,IF(D397="Night",1.5,IF(D397="Bank Holiday",2,1))))+(G397*H397))</f>
        <v/>
      </c>
      <c r="O397">
        <f>(I397*J397)+K397+L397+M397</f>
        <v/>
      </c>
      <c r="P397">
        <f>N397-O397</f>
        <v/>
      </c>
    </row>
    <row r="398">
      <c r="N398">
        <f>((E398*F398*IF(D398="Weekend",1.25,IF(D398="Night",1.5,IF(D398="Bank Holiday",2,1))))+(G398*H398))</f>
        <v/>
      </c>
      <c r="O398">
        <f>(I398*J398)+K398+L398+M398</f>
        <v/>
      </c>
      <c r="P398">
        <f>N398-O398</f>
        <v/>
      </c>
    </row>
    <row r="399">
      <c r="N399">
        <f>((E399*F399*IF(D399="Weekend",1.25,IF(D399="Night",1.5,IF(D399="Bank Holiday",2,1))))+(G399*H399))</f>
        <v/>
      </c>
      <c r="O399">
        <f>(I399*J399)+K399+L399+M399</f>
        <v/>
      </c>
      <c r="P399">
        <f>N399-O399</f>
        <v/>
      </c>
    </row>
    <row r="400">
      <c r="N400">
        <f>((E400*F400*IF(D400="Weekend",1.25,IF(D400="Night",1.5,IF(D400="Bank Holiday",2,1))))+(G400*H400))</f>
        <v/>
      </c>
      <c r="O400">
        <f>(I400*J400)+K400+L400+M400</f>
        <v/>
      </c>
      <c r="P400">
        <f>N400-O400</f>
        <v/>
      </c>
    </row>
    <row r="401">
      <c r="N401">
        <f>((E401*F401*IF(D401="Weekend",1.25,IF(D401="Night",1.5,IF(D401="Bank Holiday",2,1))))+(G401*H401))</f>
        <v/>
      </c>
      <c r="O401">
        <f>(I401*J401)+K401+L401+M401</f>
        <v/>
      </c>
      <c r="P401">
        <f>N401-O401</f>
        <v/>
      </c>
    </row>
    <row r="402">
      <c r="N402">
        <f>((E402*F402*IF(D402="Weekend",1.25,IF(D402="Night",1.5,IF(D402="Bank Holiday",2,1))))+(G402*H402))</f>
        <v/>
      </c>
      <c r="O402">
        <f>(I402*J402)+K402+L402+M402</f>
        <v/>
      </c>
      <c r="P402">
        <f>N402-O402</f>
        <v/>
      </c>
    </row>
    <row r="403">
      <c r="N403">
        <f>((E403*F403*IF(D403="Weekend",1.25,IF(D403="Night",1.5,IF(D403="Bank Holiday",2,1))))+(G403*H403))</f>
        <v/>
      </c>
      <c r="O403">
        <f>(I403*J403)+K403+L403+M403</f>
        <v/>
      </c>
      <c r="P403">
        <f>N403-O403</f>
        <v/>
      </c>
    </row>
    <row r="404">
      <c r="N404">
        <f>((E404*F404*IF(D404="Weekend",1.25,IF(D404="Night",1.5,IF(D404="Bank Holiday",2,1))))+(G404*H404))</f>
        <v/>
      </c>
      <c r="O404">
        <f>(I404*J404)+K404+L404+M404</f>
        <v/>
      </c>
      <c r="P404">
        <f>N404-O404</f>
        <v/>
      </c>
    </row>
    <row r="405">
      <c r="N405">
        <f>((E405*F405*IF(D405="Weekend",1.25,IF(D405="Night",1.5,IF(D405="Bank Holiday",2,1))))+(G405*H405))</f>
        <v/>
      </c>
      <c r="O405">
        <f>(I405*J405)+K405+L405+M405</f>
        <v/>
      </c>
      <c r="P405">
        <f>N405-O405</f>
        <v/>
      </c>
    </row>
    <row r="406">
      <c r="N406">
        <f>((E406*F406*IF(D406="Weekend",1.25,IF(D406="Night",1.5,IF(D406="Bank Holiday",2,1))))+(G406*H406))</f>
        <v/>
      </c>
      <c r="O406">
        <f>(I406*J406)+K406+L406+M406</f>
        <v/>
      </c>
      <c r="P406">
        <f>N406-O406</f>
        <v/>
      </c>
    </row>
    <row r="407">
      <c r="N407">
        <f>((E407*F407*IF(D407="Weekend",1.25,IF(D407="Night",1.5,IF(D407="Bank Holiday",2,1))))+(G407*H407))</f>
        <v/>
      </c>
      <c r="O407">
        <f>(I407*J407)+K407+L407+M407</f>
        <v/>
      </c>
      <c r="P407">
        <f>N407-O407</f>
        <v/>
      </c>
    </row>
    <row r="408">
      <c r="N408">
        <f>((E408*F408*IF(D408="Weekend",1.25,IF(D408="Night",1.5,IF(D408="Bank Holiday",2,1))))+(G408*H408))</f>
        <v/>
      </c>
      <c r="O408">
        <f>(I408*J408)+K408+L408+M408</f>
        <v/>
      </c>
      <c r="P408">
        <f>N408-O408</f>
        <v/>
      </c>
    </row>
    <row r="409">
      <c r="N409">
        <f>((E409*F409*IF(D409="Weekend",1.25,IF(D409="Night",1.5,IF(D409="Bank Holiday",2,1))))+(G409*H409))</f>
        <v/>
      </c>
      <c r="O409">
        <f>(I409*J409)+K409+L409+M409</f>
        <v/>
      </c>
      <c r="P409">
        <f>N409-O409</f>
        <v/>
      </c>
    </row>
    <row r="410">
      <c r="N410">
        <f>((E410*F410*IF(D410="Weekend",1.25,IF(D410="Night",1.5,IF(D410="Bank Holiday",2,1))))+(G410*H410))</f>
        <v/>
      </c>
      <c r="O410">
        <f>(I410*J410)+K410+L410+M410</f>
        <v/>
      </c>
      <c r="P410">
        <f>N410-O410</f>
        <v/>
      </c>
    </row>
    <row r="411">
      <c r="N411">
        <f>((E411*F411*IF(D411="Weekend",1.25,IF(D411="Night",1.5,IF(D411="Bank Holiday",2,1))))+(G411*H411))</f>
        <v/>
      </c>
      <c r="O411">
        <f>(I411*J411)+K411+L411+M411</f>
        <v/>
      </c>
      <c r="P411">
        <f>N411-O411</f>
        <v/>
      </c>
    </row>
    <row r="412">
      <c r="N412">
        <f>((E412*F412*IF(D412="Weekend",1.25,IF(D412="Night",1.5,IF(D412="Bank Holiday",2,1))))+(G412*H412))</f>
        <v/>
      </c>
      <c r="O412">
        <f>(I412*J412)+K412+L412+M412</f>
        <v/>
      </c>
      <c r="P412">
        <f>N412-O412</f>
        <v/>
      </c>
    </row>
    <row r="413">
      <c r="N413">
        <f>((E413*F413*IF(D413="Weekend",1.25,IF(D413="Night",1.5,IF(D413="Bank Holiday",2,1))))+(G413*H413))</f>
        <v/>
      </c>
      <c r="O413">
        <f>(I413*J413)+K413+L413+M413</f>
        <v/>
      </c>
      <c r="P413">
        <f>N413-O413</f>
        <v/>
      </c>
    </row>
    <row r="414">
      <c r="N414">
        <f>((E414*F414*IF(D414="Weekend",1.25,IF(D414="Night",1.5,IF(D414="Bank Holiday",2,1))))+(G414*H414))</f>
        <v/>
      </c>
      <c r="O414">
        <f>(I414*J414)+K414+L414+M414</f>
        <v/>
      </c>
      <c r="P414">
        <f>N414-O414</f>
        <v/>
      </c>
    </row>
    <row r="415">
      <c r="N415">
        <f>((E415*F415*IF(D415="Weekend",1.25,IF(D415="Night",1.5,IF(D415="Bank Holiday",2,1))))+(G415*H415))</f>
        <v/>
      </c>
      <c r="O415">
        <f>(I415*J415)+K415+L415+M415</f>
        <v/>
      </c>
      <c r="P415">
        <f>N415-O415</f>
        <v/>
      </c>
    </row>
    <row r="416">
      <c r="N416">
        <f>((E416*F416*IF(D416="Weekend",1.25,IF(D416="Night",1.5,IF(D416="Bank Holiday",2,1))))+(G416*H416))</f>
        <v/>
      </c>
      <c r="O416">
        <f>(I416*J416)+K416+L416+M416</f>
        <v/>
      </c>
      <c r="P416">
        <f>N416-O416</f>
        <v/>
      </c>
    </row>
    <row r="417">
      <c r="N417">
        <f>((E417*F417*IF(D417="Weekend",1.25,IF(D417="Night",1.5,IF(D417="Bank Holiday",2,1))))+(G417*H417))</f>
        <v/>
      </c>
      <c r="O417">
        <f>(I417*J417)+K417+L417+M417</f>
        <v/>
      </c>
      <c r="P417">
        <f>N417-O417</f>
        <v/>
      </c>
    </row>
    <row r="418">
      <c r="N418">
        <f>((E418*F418*IF(D418="Weekend",1.25,IF(D418="Night",1.5,IF(D418="Bank Holiday",2,1))))+(G418*H418))</f>
        <v/>
      </c>
      <c r="O418">
        <f>(I418*J418)+K418+L418+M418</f>
        <v/>
      </c>
      <c r="P418">
        <f>N418-O418</f>
        <v/>
      </c>
    </row>
    <row r="419">
      <c r="N419">
        <f>((E419*F419*IF(D419="Weekend",1.25,IF(D419="Night",1.5,IF(D419="Bank Holiday",2,1))))+(G419*H419))</f>
        <v/>
      </c>
      <c r="O419">
        <f>(I419*J419)+K419+L419+M419</f>
        <v/>
      </c>
      <c r="P419">
        <f>N419-O419</f>
        <v/>
      </c>
    </row>
    <row r="420">
      <c r="N420">
        <f>((E420*F420*IF(D420="Weekend",1.25,IF(D420="Night",1.5,IF(D420="Bank Holiday",2,1))))+(G420*H420))</f>
        <v/>
      </c>
      <c r="O420">
        <f>(I420*J420)+K420+L420+M420</f>
        <v/>
      </c>
      <c r="P420">
        <f>N420-O420</f>
        <v/>
      </c>
    </row>
    <row r="421">
      <c r="N421">
        <f>((E421*F421*IF(D421="Weekend",1.25,IF(D421="Night",1.5,IF(D421="Bank Holiday",2,1))))+(G421*H421))</f>
        <v/>
      </c>
      <c r="O421">
        <f>(I421*J421)+K421+L421+M421</f>
        <v/>
      </c>
      <c r="P421">
        <f>N421-O421</f>
        <v/>
      </c>
    </row>
    <row r="422">
      <c r="N422">
        <f>((E422*F422*IF(D422="Weekend",1.25,IF(D422="Night",1.5,IF(D422="Bank Holiday",2,1))))+(G422*H422))</f>
        <v/>
      </c>
      <c r="O422">
        <f>(I422*J422)+K422+L422+M422</f>
        <v/>
      </c>
      <c r="P422">
        <f>N422-O422</f>
        <v/>
      </c>
    </row>
    <row r="423">
      <c r="N423">
        <f>((E423*F423*IF(D423="Weekend",1.25,IF(D423="Night",1.5,IF(D423="Bank Holiday",2,1))))+(G423*H423))</f>
        <v/>
      </c>
      <c r="O423">
        <f>(I423*J423)+K423+L423+M423</f>
        <v/>
      </c>
      <c r="P423">
        <f>N423-O423</f>
        <v/>
      </c>
    </row>
    <row r="424">
      <c r="N424">
        <f>((E424*F424*IF(D424="Weekend",1.25,IF(D424="Night",1.5,IF(D424="Bank Holiday",2,1))))+(G424*H424))</f>
        <v/>
      </c>
      <c r="O424">
        <f>(I424*J424)+K424+L424+M424</f>
        <v/>
      </c>
      <c r="P424">
        <f>N424-O424</f>
        <v/>
      </c>
    </row>
    <row r="425">
      <c r="N425">
        <f>((E425*F425*IF(D425="Weekend",1.25,IF(D425="Night",1.5,IF(D425="Bank Holiday",2,1))))+(G425*H425))</f>
        <v/>
      </c>
      <c r="O425">
        <f>(I425*J425)+K425+L425+M425</f>
        <v/>
      </c>
      <c r="P425">
        <f>N425-O425</f>
        <v/>
      </c>
    </row>
    <row r="426">
      <c r="N426">
        <f>((E426*F426*IF(D426="Weekend",1.25,IF(D426="Night",1.5,IF(D426="Bank Holiday",2,1))))+(G426*H426))</f>
        <v/>
      </c>
      <c r="O426">
        <f>(I426*J426)+K426+L426+M426</f>
        <v/>
      </c>
      <c r="P426">
        <f>N426-O426</f>
        <v/>
      </c>
    </row>
    <row r="427">
      <c r="N427">
        <f>((E427*F427*IF(D427="Weekend",1.25,IF(D427="Night",1.5,IF(D427="Bank Holiday",2,1))))+(G427*H427))</f>
        <v/>
      </c>
      <c r="O427">
        <f>(I427*J427)+K427+L427+M427</f>
        <v/>
      </c>
      <c r="P427">
        <f>N427-O427</f>
        <v/>
      </c>
    </row>
    <row r="428">
      <c r="N428">
        <f>((E428*F428*IF(D428="Weekend",1.25,IF(D428="Night",1.5,IF(D428="Bank Holiday",2,1))))+(G428*H428))</f>
        <v/>
      </c>
      <c r="O428">
        <f>(I428*J428)+K428+L428+M428</f>
        <v/>
      </c>
      <c r="P428">
        <f>N428-O428</f>
        <v/>
      </c>
    </row>
    <row r="429">
      <c r="N429">
        <f>((E429*F429*IF(D429="Weekend",1.25,IF(D429="Night",1.5,IF(D429="Bank Holiday",2,1))))+(G429*H429))</f>
        <v/>
      </c>
      <c r="O429">
        <f>(I429*J429)+K429+L429+M429</f>
        <v/>
      </c>
      <c r="P429">
        <f>N429-O429</f>
        <v/>
      </c>
    </row>
    <row r="430">
      <c r="N430">
        <f>((E430*F430*IF(D430="Weekend",1.25,IF(D430="Night",1.5,IF(D430="Bank Holiday",2,1))))+(G430*H430))</f>
        <v/>
      </c>
      <c r="O430">
        <f>(I430*J430)+K430+L430+M430</f>
        <v/>
      </c>
      <c r="P430">
        <f>N430-O430</f>
        <v/>
      </c>
    </row>
    <row r="431">
      <c r="N431">
        <f>((E431*F431*IF(D431="Weekend",1.25,IF(D431="Night",1.5,IF(D431="Bank Holiday",2,1))))+(G431*H431))</f>
        <v/>
      </c>
      <c r="O431">
        <f>(I431*J431)+K431+L431+M431</f>
        <v/>
      </c>
      <c r="P431">
        <f>N431-O431</f>
        <v/>
      </c>
    </row>
    <row r="432">
      <c r="N432">
        <f>((E432*F432*IF(D432="Weekend",1.25,IF(D432="Night",1.5,IF(D432="Bank Holiday",2,1))))+(G432*H432))</f>
        <v/>
      </c>
      <c r="O432">
        <f>(I432*J432)+K432+L432+M432</f>
        <v/>
      </c>
      <c r="P432">
        <f>N432-O432</f>
        <v/>
      </c>
    </row>
    <row r="433">
      <c r="N433">
        <f>((E433*F433*IF(D433="Weekend",1.25,IF(D433="Night",1.5,IF(D433="Bank Holiday",2,1))))+(G433*H433))</f>
        <v/>
      </c>
      <c r="O433">
        <f>(I433*J433)+K433+L433+M433</f>
        <v/>
      </c>
      <c r="P433">
        <f>N433-O433</f>
        <v/>
      </c>
    </row>
    <row r="434">
      <c r="N434">
        <f>((E434*F434*IF(D434="Weekend",1.25,IF(D434="Night",1.5,IF(D434="Bank Holiday",2,1))))+(G434*H434))</f>
        <v/>
      </c>
      <c r="O434">
        <f>(I434*J434)+K434+L434+M434</f>
        <v/>
      </c>
      <c r="P434">
        <f>N434-O434</f>
        <v/>
      </c>
    </row>
    <row r="435">
      <c r="N435">
        <f>((E435*F435*IF(D435="Weekend",1.25,IF(D435="Night",1.5,IF(D435="Bank Holiday",2,1))))+(G435*H435))</f>
        <v/>
      </c>
      <c r="O435">
        <f>(I435*J435)+K435+L435+M435</f>
        <v/>
      </c>
      <c r="P435">
        <f>N435-O435</f>
        <v/>
      </c>
    </row>
    <row r="436">
      <c r="N436">
        <f>((E436*F436*IF(D436="Weekend",1.25,IF(D436="Night",1.5,IF(D436="Bank Holiday",2,1))))+(G436*H436))</f>
        <v/>
      </c>
      <c r="O436">
        <f>(I436*J436)+K436+L436+M436</f>
        <v/>
      </c>
      <c r="P436">
        <f>N436-O436</f>
        <v/>
      </c>
    </row>
    <row r="437">
      <c r="N437">
        <f>((E437*F437*IF(D437="Weekend",1.25,IF(D437="Night",1.5,IF(D437="Bank Holiday",2,1))))+(G437*H437))</f>
        <v/>
      </c>
      <c r="O437">
        <f>(I437*J437)+K437+L437+M437</f>
        <v/>
      </c>
      <c r="P437">
        <f>N437-O437</f>
        <v/>
      </c>
    </row>
    <row r="438">
      <c r="N438">
        <f>((E438*F438*IF(D438="Weekend",1.25,IF(D438="Night",1.5,IF(D438="Bank Holiday",2,1))))+(G438*H438))</f>
        <v/>
      </c>
      <c r="O438">
        <f>(I438*J438)+K438+L438+M438</f>
        <v/>
      </c>
      <c r="P438">
        <f>N438-O438</f>
        <v/>
      </c>
    </row>
    <row r="439">
      <c r="N439">
        <f>((E439*F439*IF(D439="Weekend",1.25,IF(D439="Night",1.5,IF(D439="Bank Holiday",2,1))))+(G439*H439))</f>
        <v/>
      </c>
      <c r="O439">
        <f>(I439*J439)+K439+L439+M439</f>
        <v/>
      </c>
      <c r="P439">
        <f>N439-O439</f>
        <v/>
      </c>
    </row>
    <row r="440">
      <c r="N440">
        <f>((E440*F440*IF(D440="Weekend",1.25,IF(D440="Night",1.5,IF(D440="Bank Holiday",2,1))))+(G440*H440))</f>
        <v/>
      </c>
      <c r="O440">
        <f>(I440*J440)+K440+L440+M440</f>
        <v/>
      </c>
      <c r="P440">
        <f>N440-O440</f>
        <v/>
      </c>
    </row>
    <row r="441">
      <c r="N441">
        <f>((E441*F441*IF(D441="Weekend",1.25,IF(D441="Night",1.5,IF(D441="Bank Holiday",2,1))))+(G441*H441))</f>
        <v/>
      </c>
      <c r="O441">
        <f>(I441*J441)+K441+L441+M441</f>
        <v/>
      </c>
      <c r="P441">
        <f>N441-O441</f>
        <v/>
      </c>
    </row>
    <row r="442">
      <c r="N442">
        <f>((E442*F442*IF(D442="Weekend",1.25,IF(D442="Night",1.5,IF(D442="Bank Holiday",2,1))))+(G442*H442))</f>
        <v/>
      </c>
      <c r="O442">
        <f>(I442*J442)+K442+L442+M442</f>
        <v/>
      </c>
      <c r="P442">
        <f>N442-O442</f>
        <v/>
      </c>
    </row>
    <row r="443">
      <c r="N443">
        <f>((E443*F443*IF(D443="Weekend",1.25,IF(D443="Night",1.5,IF(D443="Bank Holiday",2,1))))+(G443*H443))</f>
        <v/>
      </c>
      <c r="O443">
        <f>(I443*J443)+K443+L443+M443</f>
        <v/>
      </c>
      <c r="P443">
        <f>N443-O443</f>
        <v/>
      </c>
    </row>
    <row r="444">
      <c r="N444">
        <f>((E444*F444*IF(D444="Weekend",1.25,IF(D444="Night",1.5,IF(D444="Bank Holiday",2,1))))+(G444*H444))</f>
        <v/>
      </c>
      <c r="O444">
        <f>(I444*J444)+K444+L444+M444</f>
        <v/>
      </c>
      <c r="P444">
        <f>N444-O444</f>
        <v/>
      </c>
    </row>
    <row r="445">
      <c r="N445">
        <f>((E445*F445*IF(D445="Weekend",1.25,IF(D445="Night",1.5,IF(D445="Bank Holiday",2,1))))+(G445*H445))</f>
        <v/>
      </c>
      <c r="O445">
        <f>(I445*J445)+K445+L445+M445</f>
        <v/>
      </c>
      <c r="P445">
        <f>N445-O445</f>
        <v/>
      </c>
    </row>
    <row r="446">
      <c r="N446">
        <f>((E446*F446*IF(D446="Weekend",1.25,IF(D446="Night",1.5,IF(D446="Bank Holiday",2,1))))+(G446*H446))</f>
        <v/>
      </c>
      <c r="O446">
        <f>(I446*J446)+K446+L446+M446</f>
        <v/>
      </c>
      <c r="P446">
        <f>N446-O446</f>
        <v/>
      </c>
    </row>
    <row r="447">
      <c r="N447">
        <f>((E447*F447*IF(D447="Weekend",1.25,IF(D447="Night",1.5,IF(D447="Bank Holiday",2,1))))+(G447*H447))</f>
        <v/>
      </c>
      <c r="O447">
        <f>(I447*J447)+K447+L447+M447</f>
        <v/>
      </c>
      <c r="P447">
        <f>N447-O447</f>
        <v/>
      </c>
    </row>
    <row r="448">
      <c r="N448">
        <f>((E448*F448*IF(D448="Weekend",1.25,IF(D448="Night",1.5,IF(D448="Bank Holiday",2,1))))+(G448*H448))</f>
        <v/>
      </c>
      <c r="O448">
        <f>(I448*J448)+K448+L448+M448</f>
        <v/>
      </c>
      <c r="P448">
        <f>N448-O448</f>
        <v/>
      </c>
    </row>
    <row r="449">
      <c r="N449">
        <f>((E449*F449*IF(D449="Weekend",1.25,IF(D449="Night",1.5,IF(D449="Bank Holiday",2,1))))+(G449*H449))</f>
        <v/>
      </c>
      <c r="O449">
        <f>(I449*J449)+K449+L449+M449</f>
        <v/>
      </c>
      <c r="P449">
        <f>N449-O449</f>
        <v/>
      </c>
    </row>
    <row r="450">
      <c r="N450">
        <f>((E450*F450*IF(D450="Weekend",1.25,IF(D450="Night",1.5,IF(D450="Bank Holiday",2,1))))+(G450*H450))</f>
        <v/>
      </c>
      <c r="O450">
        <f>(I450*J450)+K450+L450+M450</f>
        <v/>
      </c>
      <c r="P450">
        <f>N450-O450</f>
        <v/>
      </c>
    </row>
    <row r="451">
      <c r="N451">
        <f>((E451*F451*IF(D451="Weekend",1.25,IF(D451="Night",1.5,IF(D451="Bank Holiday",2,1))))+(G451*H451))</f>
        <v/>
      </c>
      <c r="O451">
        <f>(I451*J451)+K451+L451+M451</f>
        <v/>
      </c>
      <c r="P451">
        <f>N451-O451</f>
        <v/>
      </c>
    </row>
    <row r="452">
      <c r="N452">
        <f>((E452*F452*IF(D452="Weekend",1.25,IF(D452="Night",1.5,IF(D452="Bank Holiday",2,1))))+(G452*H452))</f>
        <v/>
      </c>
      <c r="O452">
        <f>(I452*J452)+K452+L452+M452</f>
        <v/>
      </c>
      <c r="P452">
        <f>N452-O452</f>
        <v/>
      </c>
    </row>
    <row r="453">
      <c r="N453">
        <f>((E453*F453*IF(D453="Weekend",1.25,IF(D453="Night",1.5,IF(D453="Bank Holiday",2,1))))+(G453*H453))</f>
        <v/>
      </c>
      <c r="O453">
        <f>(I453*J453)+K453+L453+M453</f>
        <v/>
      </c>
      <c r="P453">
        <f>N453-O453</f>
        <v/>
      </c>
    </row>
    <row r="454">
      <c r="N454">
        <f>((E454*F454*IF(D454="Weekend",1.25,IF(D454="Night",1.5,IF(D454="Bank Holiday",2,1))))+(G454*H454))</f>
        <v/>
      </c>
      <c r="O454">
        <f>(I454*J454)+K454+L454+M454</f>
        <v/>
      </c>
      <c r="P454">
        <f>N454-O454</f>
        <v/>
      </c>
    </row>
    <row r="455">
      <c r="N455">
        <f>((E455*F455*IF(D455="Weekend",1.25,IF(D455="Night",1.5,IF(D455="Bank Holiday",2,1))))+(G455*H455))</f>
        <v/>
      </c>
      <c r="O455">
        <f>(I455*J455)+K455+L455+M455</f>
        <v/>
      </c>
      <c r="P455">
        <f>N455-O455</f>
        <v/>
      </c>
    </row>
    <row r="456">
      <c r="N456">
        <f>((E456*F456*IF(D456="Weekend",1.25,IF(D456="Night",1.5,IF(D456="Bank Holiday",2,1))))+(G456*H456))</f>
        <v/>
      </c>
      <c r="O456">
        <f>(I456*J456)+K456+L456+M456</f>
        <v/>
      </c>
      <c r="P456">
        <f>N456-O456</f>
        <v/>
      </c>
    </row>
    <row r="457">
      <c r="N457">
        <f>((E457*F457*IF(D457="Weekend",1.25,IF(D457="Night",1.5,IF(D457="Bank Holiday",2,1))))+(G457*H457))</f>
        <v/>
      </c>
      <c r="O457">
        <f>(I457*J457)+K457+L457+M457</f>
        <v/>
      </c>
      <c r="P457">
        <f>N457-O457</f>
        <v/>
      </c>
    </row>
    <row r="458">
      <c r="N458">
        <f>((E458*F458*IF(D458="Weekend",1.25,IF(D458="Night",1.5,IF(D458="Bank Holiday",2,1))))+(G458*H458))</f>
        <v/>
      </c>
      <c r="O458">
        <f>(I458*J458)+K458+L458+M458</f>
        <v/>
      </c>
      <c r="P458">
        <f>N458-O458</f>
        <v/>
      </c>
    </row>
    <row r="459">
      <c r="N459">
        <f>((E459*F459*IF(D459="Weekend",1.25,IF(D459="Night",1.5,IF(D459="Bank Holiday",2,1))))+(G459*H459))</f>
        <v/>
      </c>
      <c r="O459">
        <f>(I459*J459)+K459+L459+M459</f>
        <v/>
      </c>
      <c r="P459">
        <f>N459-O459</f>
        <v/>
      </c>
    </row>
    <row r="460">
      <c r="N460">
        <f>((E460*F460*IF(D460="Weekend",1.25,IF(D460="Night",1.5,IF(D460="Bank Holiday",2,1))))+(G460*H460))</f>
        <v/>
      </c>
      <c r="O460">
        <f>(I460*J460)+K460+L460+M460</f>
        <v/>
      </c>
      <c r="P460">
        <f>N460-O460</f>
        <v/>
      </c>
    </row>
    <row r="461">
      <c r="N461">
        <f>((E461*F461*IF(D461="Weekend",1.25,IF(D461="Night",1.5,IF(D461="Bank Holiday",2,1))))+(G461*H461))</f>
        <v/>
      </c>
      <c r="O461">
        <f>(I461*J461)+K461+L461+M461</f>
        <v/>
      </c>
      <c r="P461">
        <f>N461-O461</f>
        <v/>
      </c>
    </row>
    <row r="462">
      <c r="N462">
        <f>((E462*F462*IF(D462="Weekend",1.25,IF(D462="Night",1.5,IF(D462="Bank Holiday",2,1))))+(G462*H462))</f>
        <v/>
      </c>
      <c r="O462">
        <f>(I462*J462)+K462+L462+M462</f>
        <v/>
      </c>
      <c r="P462">
        <f>N462-O462</f>
        <v/>
      </c>
    </row>
    <row r="463">
      <c r="N463">
        <f>((E463*F463*IF(D463="Weekend",1.25,IF(D463="Night",1.5,IF(D463="Bank Holiday",2,1))))+(G463*H463))</f>
        <v/>
      </c>
      <c r="O463">
        <f>(I463*J463)+K463+L463+M463</f>
        <v/>
      </c>
      <c r="P463">
        <f>N463-O463</f>
        <v/>
      </c>
    </row>
    <row r="464">
      <c r="N464">
        <f>((E464*F464*IF(D464="Weekend",1.25,IF(D464="Night",1.5,IF(D464="Bank Holiday",2,1))))+(G464*H464))</f>
        <v/>
      </c>
      <c r="O464">
        <f>(I464*J464)+K464+L464+M464</f>
        <v/>
      </c>
      <c r="P464">
        <f>N464-O464</f>
        <v/>
      </c>
    </row>
    <row r="465">
      <c r="N465">
        <f>((E465*F465*IF(D465="Weekend",1.25,IF(D465="Night",1.5,IF(D465="Bank Holiday",2,1))))+(G465*H465))</f>
        <v/>
      </c>
      <c r="O465">
        <f>(I465*J465)+K465+L465+M465</f>
        <v/>
      </c>
      <c r="P465">
        <f>N465-O465</f>
        <v/>
      </c>
    </row>
    <row r="466">
      <c r="N466">
        <f>((E466*F466*IF(D466="Weekend",1.25,IF(D466="Night",1.5,IF(D466="Bank Holiday",2,1))))+(G466*H466))</f>
        <v/>
      </c>
      <c r="O466">
        <f>(I466*J466)+K466+L466+M466</f>
        <v/>
      </c>
      <c r="P466">
        <f>N466-O466</f>
        <v/>
      </c>
    </row>
    <row r="467">
      <c r="N467">
        <f>((E467*F467*IF(D467="Weekend",1.25,IF(D467="Night",1.5,IF(D467="Bank Holiday",2,1))))+(G467*H467))</f>
        <v/>
      </c>
      <c r="O467">
        <f>(I467*J467)+K467+L467+M467</f>
        <v/>
      </c>
      <c r="P467">
        <f>N467-O467</f>
        <v/>
      </c>
    </row>
    <row r="468">
      <c r="N468">
        <f>((E468*F468*IF(D468="Weekend",1.25,IF(D468="Night",1.5,IF(D468="Bank Holiday",2,1))))+(G468*H468))</f>
        <v/>
      </c>
      <c r="O468">
        <f>(I468*J468)+K468+L468+M468</f>
        <v/>
      </c>
      <c r="P468">
        <f>N468-O468</f>
        <v/>
      </c>
    </row>
    <row r="469">
      <c r="N469">
        <f>((E469*F469*IF(D469="Weekend",1.25,IF(D469="Night",1.5,IF(D469="Bank Holiday",2,1))))+(G469*H469))</f>
        <v/>
      </c>
      <c r="O469">
        <f>(I469*J469)+K469+L469+M469</f>
        <v/>
      </c>
      <c r="P469">
        <f>N469-O469</f>
        <v/>
      </c>
    </row>
    <row r="470">
      <c r="N470">
        <f>((E470*F470*IF(D470="Weekend",1.25,IF(D470="Night",1.5,IF(D470="Bank Holiday",2,1))))+(G470*H470))</f>
        <v/>
      </c>
      <c r="O470">
        <f>(I470*J470)+K470+L470+M470</f>
        <v/>
      </c>
      <c r="P470">
        <f>N470-O470</f>
        <v/>
      </c>
    </row>
    <row r="471">
      <c r="N471">
        <f>((E471*F471*IF(D471="Weekend",1.25,IF(D471="Night",1.5,IF(D471="Bank Holiday",2,1))))+(G471*H471))</f>
        <v/>
      </c>
      <c r="O471">
        <f>(I471*J471)+K471+L471+M471</f>
        <v/>
      </c>
      <c r="P471">
        <f>N471-O471</f>
        <v/>
      </c>
    </row>
    <row r="472">
      <c r="N472">
        <f>((E472*F472*IF(D472="Weekend",1.25,IF(D472="Night",1.5,IF(D472="Bank Holiday",2,1))))+(G472*H472))</f>
        <v/>
      </c>
      <c r="O472">
        <f>(I472*J472)+K472+L472+M472</f>
        <v/>
      </c>
      <c r="P472">
        <f>N472-O472</f>
        <v/>
      </c>
    </row>
    <row r="473">
      <c r="N473">
        <f>((E473*F473*IF(D473="Weekend",1.25,IF(D473="Night",1.5,IF(D473="Bank Holiday",2,1))))+(G473*H473))</f>
        <v/>
      </c>
      <c r="O473">
        <f>(I473*J473)+K473+L473+M473</f>
        <v/>
      </c>
      <c r="P473">
        <f>N473-O473</f>
        <v/>
      </c>
    </row>
    <row r="474">
      <c r="N474">
        <f>((E474*F474*IF(D474="Weekend",1.25,IF(D474="Night",1.5,IF(D474="Bank Holiday",2,1))))+(G474*H474))</f>
        <v/>
      </c>
      <c r="O474">
        <f>(I474*J474)+K474+L474+M474</f>
        <v/>
      </c>
      <c r="P474">
        <f>N474-O474</f>
        <v/>
      </c>
    </row>
    <row r="475">
      <c r="N475">
        <f>((E475*F475*IF(D475="Weekend",1.25,IF(D475="Night",1.5,IF(D475="Bank Holiday",2,1))))+(G475*H475))</f>
        <v/>
      </c>
      <c r="O475">
        <f>(I475*J475)+K475+L475+M475</f>
        <v/>
      </c>
      <c r="P475">
        <f>N475-O475</f>
        <v/>
      </c>
    </row>
    <row r="476">
      <c r="N476">
        <f>((E476*F476*IF(D476="Weekend",1.25,IF(D476="Night",1.5,IF(D476="Bank Holiday",2,1))))+(G476*H476))</f>
        <v/>
      </c>
      <c r="O476">
        <f>(I476*J476)+K476+L476+M476</f>
        <v/>
      </c>
      <c r="P476">
        <f>N476-O476</f>
        <v/>
      </c>
    </row>
    <row r="477">
      <c r="N477">
        <f>((E477*F477*IF(D477="Weekend",1.25,IF(D477="Night",1.5,IF(D477="Bank Holiday",2,1))))+(G477*H477))</f>
        <v/>
      </c>
      <c r="O477">
        <f>(I477*J477)+K477+L477+M477</f>
        <v/>
      </c>
      <c r="P477">
        <f>N477-O477</f>
        <v/>
      </c>
    </row>
    <row r="478">
      <c r="N478">
        <f>((E478*F478*IF(D478="Weekend",1.25,IF(D478="Night",1.5,IF(D478="Bank Holiday",2,1))))+(G478*H478))</f>
        <v/>
      </c>
      <c r="O478">
        <f>(I478*J478)+K478+L478+M478</f>
        <v/>
      </c>
      <c r="P478">
        <f>N478-O478</f>
        <v/>
      </c>
    </row>
    <row r="479">
      <c r="N479">
        <f>((E479*F479*IF(D479="Weekend",1.25,IF(D479="Night",1.5,IF(D479="Bank Holiday",2,1))))+(G479*H479))</f>
        <v/>
      </c>
      <c r="O479">
        <f>(I479*J479)+K479+L479+M479</f>
        <v/>
      </c>
      <c r="P479">
        <f>N479-O479</f>
        <v/>
      </c>
    </row>
    <row r="480">
      <c r="N480">
        <f>((E480*F480*IF(D480="Weekend",1.25,IF(D480="Night",1.5,IF(D480="Bank Holiday",2,1))))+(G480*H480))</f>
        <v/>
      </c>
      <c r="O480">
        <f>(I480*J480)+K480+L480+M480</f>
        <v/>
      </c>
      <c r="P480">
        <f>N480-O480</f>
        <v/>
      </c>
    </row>
    <row r="481">
      <c r="N481">
        <f>((E481*F481*IF(D481="Weekend",1.25,IF(D481="Night",1.5,IF(D481="Bank Holiday",2,1))))+(G481*H481))</f>
        <v/>
      </c>
      <c r="O481">
        <f>(I481*J481)+K481+L481+M481</f>
        <v/>
      </c>
      <c r="P481">
        <f>N481-O481</f>
        <v/>
      </c>
    </row>
    <row r="482">
      <c r="N482">
        <f>((E482*F482*IF(D482="Weekend",1.25,IF(D482="Night",1.5,IF(D482="Bank Holiday",2,1))))+(G482*H482))</f>
        <v/>
      </c>
      <c r="O482">
        <f>(I482*J482)+K482+L482+M482</f>
        <v/>
      </c>
      <c r="P482">
        <f>N482-O482</f>
        <v/>
      </c>
    </row>
    <row r="483">
      <c r="N483">
        <f>((E483*F483*IF(D483="Weekend",1.25,IF(D483="Night",1.5,IF(D483="Bank Holiday",2,1))))+(G483*H483))</f>
        <v/>
      </c>
      <c r="O483">
        <f>(I483*J483)+K483+L483+M483</f>
        <v/>
      </c>
      <c r="P483">
        <f>N483-O483</f>
        <v/>
      </c>
    </row>
    <row r="484">
      <c r="N484">
        <f>((E484*F484*IF(D484="Weekend",1.25,IF(D484="Night",1.5,IF(D484="Bank Holiday",2,1))))+(G484*H484))</f>
        <v/>
      </c>
      <c r="O484">
        <f>(I484*J484)+K484+L484+M484</f>
        <v/>
      </c>
      <c r="P484">
        <f>N484-O484</f>
        <v/>
      </c>
    </row>
    <row r="485">
      <c r="N485">
        <f>((E485*F485*IF(D485="Weekend",1.25,IF(D485="Night",1.5,IF(D485="Bank Holiday",2,1))))+(G485*H485))</f>
        <v/>
      </c>
      <c r="O485">
        <f>(I485*J485)+K485+L485+M485</f>
        <v/>
      </c>
      <c r="P485">
        <f>N485-O485</f>
        <v/>
      </c>
    </row>
    <row r="486">
      <c r="N486">
        <f>((E486*F486*IF(D486="Weekend",1.25,IF(D486="Night",1.5,IF(D486="Bank Holiday",2,1))))+(G486*H486))</f>
        <v/>
      </c>
      <c r="O486">
        <f>(I486*J486)+K486+L486+M486</f>
        <v/>
      </c>
      <c r="P486">
        <f>N486-O486</f>
        <v/>
      </c>
    </row>
    <row r="487">
      <c r="N487">
        <f>((E487*F487*IF(D487="Weekend",1.25,IF(D487="Night",1.5,IF(D487="Bank Holiday",2,1))))+(G487*H487))</f>
        <v/>
      </c>
      <c r="O487">
        <f>(I487*J487)+K487+L487+M487</f>
        <v/>
      </c>
      <c r="P487">
        <f>N487-O487</f>
        <v/>
      </c>
    </row>
    <row r="488">
      <c r="N488">
        <f>((E488*F488*IF(D488="Weekend",1.25,IF(D488="Night",1.5,IF(D488="Bank Holiday",2,1))))+(G488*H488))</f>
        <v/>
      </c>
      <c r="O488">
        <f>(I488*J488)+K488+L488+M488</f>
        <v/>
      </c>
      <c r="P488">
        <f>N488-O488</f>
        <v/>
      </c>
    </row>
    <row r="489">
      <c r="N489">
        <f>((E489*F489*IF(D489="Weekend",1.25,IF(D489="Night",1.5,IF(D489="Bank Holiday",2,1))))+(G489*H489))</f>
        <v/>
      </c>
      <c r="O489">
        <f>(I489*J489)+K489+L489+M489</f>
        <v/>
      </c>
      <c r="P489">
        <f>N489-O489</f>
        <v/>
      </c>
    </row>
    <row r="490">
      <c r="N490">
        <f>((E490*F490*IF(D490="Weekend",1.25,IF(D490="Night",1.5,IF(D490="Bank Holiday",2,1))))+(G490*H490))</f>
        <v/>
      </c>
      <c r="O490">
        <f>(I490*J490)+K490+L490+M490</f>
        <v/>
      </c>
      <c r="P490">
        <f>N490-O490</f>
        <v/>
      </c>
    </row>
    <row r="491">
      <c r="N491">
        <f>((E491*F491*IF(D491="Weekend",1.25,IF(D491="Night",1.5,IF(D491="Bank Holiday",2,1))))+(G491*H491))</f>
        <v/>
      </c>
      <c r="O491">
        <f>(I491*J491)+K491+L491+M491</f>
        <v/>
      </c>
      <c r="P491">
        <f>N491-O491</f>
        <v/>
      </c>
    </row>
    <row r="492">
      <c r="N492">
        <f>((E492*F492*IF(D492="Weekend",1.25,IF(D492="Night",1.5,IF(D492="Bank Holiday",2,1))))+(G492*H492))</f>
        <v/>
      </c>
      <c r="O492">
        <f>(I492*J492)+K492+L492+M492</f>
        <v/>
      </c>
      <c r="P492">
        <f>N492-O492</f>
        <v/>
      </c>
    </row>
    <row r="493">
      <c r="N493">
        <f>((E493*F493*IF(D493="Weekend",1.25,IF(D493="Night",1.5,IF(D493="Bank Holiday",2,1))))+(G493*H493))</f>
        <v/>
      </c>
      <c r="O493">
        <f>(I493*J493)+K493+L493+M493</f>
        <v/>
      </c>
      <c r="P493">
        <f>N493-O493</f>
        <v/>
      </c>
    </row>
    <row r="494">
      <c r="N494">
        <f>((E494*F494*IF(D494="Weekend",1.25,IF(D494="Night",1.5,IF(D494="Bank Holiday",2,1))))+(G494*H494))</f>
        <v/>
      </c>
      <c r="O494">
        <f>(I494*J494)+K494+L494+M494</f>
        <v/>
      </c>
      <c r="P494">
        <f>N494-O494</f>
        <v/>
      </c>
    </row>
    <row r="495">
      <c r="N495">
        <f>((E495*F495*IF(D495="Weekend",1.25,IF(D495="Night",1.5,IF(D495="Bank Holiday",2,1))))+(G495*H495))</f>
        <v/>
      </c>
      <c r="O495">
        <f>(I495*J495)+K495+L495+M495</f>
        <v/>
      </c>
      <c r="P495">
        <f>N495-O495</f>
        <v/>
      </c>
    </row>
    <row r="496">
      <c r="N496">
        <f>((E496*F496*IF(D496="Weekend",1.25,IF(D496="Night",1.5,IF(D496="Bank Holiday",2,1))))+(G496*H496))</f>
        <v/>
      </c>
      <c r="O496">
        <f>(I496*J496)+K496+L496+M496</f>
        <v/>
      </c>
      <c r="P496">
        <f>N496-O496</f>
        <v/>
      </c>
    </row>
    <row r="497">
      <c r="N497">
        <f>((E497*F497*IF(D497="Weekend",1.25,IF(D497="Night",1.5,IF(D497="Bank Holiday",2,1))))+(G497*H497))</f>
        <v/>
      </c>
      <c r="O497">
        <f>(I497*J497)+K497+L497+M497</f>
        <v/>
      </c>
      <c r="P497">
        <f>N497-O497</f>
        <v/>
      </c>
    </row>
    <row r="498">
      <c r="N498">
        <f>((E498*F498*IF(D498="Weekend",1.25,IF(D498="Night",1.5,IF(D498="Bank Holiday",2,1))))+(G498*H498))</f>
        <v/>
      </c>
      <c r="O498">
        <f>(I498*J498)+K498+L498+M498</f>
        <v/>
      </c>
      <c r="P498">
        <f>N498-O498</f>
        <v/>
      </c>
    </row>
    <row r="499">
      <c r="N499">
        <f>((E499*F499*IF(D499="Weekend",1.25,IF(D499="Night",1.5,IF(D499="Bank Holiday",2,1))))+(G499*H499))</f>
        <v/>
      </c>
      <c r="O499">
        <f>(I499*J499)+K499+L499+M499</f>
        <v/>
      </c>
      <c r="P499">
        <f>N499-O499</f>
        <v/>
      </c>
    </row>
    <row r="500">
      <c r="N500">
        <f>((E500*F500*IF(D500="Weekend",1.25,IF(D500="Night",1.5,IF(D500="Bank Holiday",2,1))))+(G500*H500))</f>
        <v/>
      </c>
      <c r="O500">
        <f>(I500*J500)+K500+L500+M500</f>
        <v/>
      </c>
      <c r="P500">
        <f>N500-O500</f>
        <v/>
      </c>
    </row>
    <row r="501">
      <c r="N501">
        <f>((E501*F501*IF(D501="Weekend",1.25,IF(D501="Night",1.5,IF(D501="Bank Holiday",2,1))))+(G501*H501))</f>
        <v/>
      </c>
      <c r="O501">
        <f>(I501*J501)+K501+L501+M501</f>
        <v/>
      </c>
      <c r="P501">
        <f>N501-O501</f>
        <v/>
      </c>
    </row>
  </sheetData>
  <dataValidations count="2">
    <dataValidation sqref="D2:D501" showDropDown="0" showInputMessage="0" showErrorMessage="0" allowBlank="1" type="list">
      <formula1>"Normal,Weekend,Night,Bank Holiday"</formula1>
    </dataValidation>
    <dataValidation sqref="B2:B501" showDropDown="0" showInputMessage="0" showErrorMessage="0" allowBlank="1" type="list">
      <formula1>"Jan,Feb,Mar,Apr,May,Jun,Jul,Aug,Sep,Oct,Nov,Dec"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Month</t>
        </is>
      </c>
      <c r="B1" s="1" t="inlineStr">
        <is>
          <t>Total Gross (£)</t>
        </is>
      </c>
      <c r="C1" s="1" t="inlineStr">
        <is>
          <t>Total Expenses (£)</t>
        </is>
      </c>
      <c r="D1" s="1" t="inlineStr">
        <is>
          <t>Net Income (£)</t>
        </is>
      </c>
    </row>
    <row r="2">
      <c r="A2" t="inlineStr">
        <is>
          <t>Jan</t>
        </is>
      </c>
      <c r="B2">
        <f>SUMIF('Shift Records'!B:B,"Jan",'Shift Records'!N:N)</f>
        <v/>
      </c>
      <c r="C2">
        <f>SUMIF('Shift Records'!B:B,"Jan",'Shift Records'!O:O)</f>
        <v/>
      </c>
      <c r="D2">
        <f>B2-C2</f>
        <v/>
      </c>
    </row>
    <row r="3">
      <c r="A3" t="inlineStr">
        <is>
          <t>Feb</t>
        </is>
      </c>
      <c r="B3">
        <f>SUMIF('Shift Records'!B:B,"Feb",'Shift Records'!N:N)</f>
        <v/>
      </c>
      <c r="C3">
        <f>SUMIF('Shift Records'!B:B,"Feb",'Shift Records'!O:O)</f>
        <v/>
      </c>
      <c r="D3">
        <f>B3-C3</f>
        <v/>
      </c>
    </row>
    <row r="4">
      <c r="A4" t="inlineStr">
        <is>
          <t>Mar</t>
        </is>
      </c>
      <c r="B4">
        <f>SUMIF('Shift Records'!B:B,"Mar",'Shift Records'!N:N)</f>
        <v/>
      </c>
      <c r="C4">
        <f>SUMIF('Shift Records'!B:B,"Mar",'Shift Records'!O:O)</f>
        <v/>
      </c>
      <c r="D4">
        <f>B4-C4</f>
        <v/>
      </c>
    </row>
    <row r="5">
      <c r="A5" t="inlineStr">
        <is>
          <t>Apr</t>
        </is>
      </c>
      <c r="B5">
        <f>SUMIF('Shift Records'!B:B,"Apr",'Shift Records'!N:N)</f>
        <v/>
      </c>
      <c r="C5">
        <f>SUMIF('Shift Records'!B:B,"Apr",'Shift Records'!O:O)</f>
        <v/>
      </c>
      <c r="D5">
        <f>B5-C5</f>
        <v/>
      </c>
    </row>
    <row r="6">
      <c r="A6" t="inlineStr">
        <is>
          <t>May</t>
        </is>
      </c>
      <c r="B6">
        <f>SUMIF('Shift Records'!B:B,"May",'Shift Records'!N:N)</f>
        <v/>
      </c>
      <c r="C6">
        <f>SUMIF('Shift Records'!B:B,"May",'Shift Records'!O:O)</f>
        <v/>
      </c>
      <c r="D6">
        <f>B6-C6</f>
        <v/>
      </c>
    </row>
    <row r="7">
      <c r="A7" t="inlineStr">
        <is>
          <t>Jun</t>
        </is>
      </c>
      <c r="B7">
        <f>SUMIF('Shift Records'!B:B,"Jun",'Shift Records'!N:N)</f>
        <v/>
      </c>
      <c r="C7">
        <f>SUMIF('Shift Records'!B:B,"Jun",'Shift Records'!O:O)</f>
        <v/>
      </c>
      <c r="D7">
        <f>B7-C7</f>
        <v/>
      </c>
    </row>
    <row r="8">
      <c r="A8" t="inlineStr">
        <is>
          <t>Jul</t>
        </is>
      </c>
      <c r="B8">
        <f>SUMIF('Shift Records'!B:B,"Jul",'Shift Records'!N:N)</f>
        <v/>
      </c>
      <c r="C8">
        <f>SUMIF('Shift Records'!B:B,"Jul",'Shift Records'!O:O)</f>
        <v/>
      </c>
      <c r="D8">
        <f>B8-C8</f>
        <v/>
      </c>
    </row>
    <row r="9">
      <c r="A9" t="inlineStr">
        <is>
          <t>Aug</t>
        </is>
      </c>
      <c r="B9">
        <f>SUMIF('Shift Records'!B:B,"Aug",'Shift Records'!N:N)</f>
        <v/>
      </c>
      <c r="C9">
        <f>SUMIF('Shift Records'!B:B,"Aug",'Shift Records'!O:O)</f>
        <v/>
      </c>
      <c r="D9">
        <f>B9-C9</f>
        <v/>
      </c>
    </row>
    <row r="10">
      <c r="A10" t="inlineStr">
        <is>
          <t>Sep</t>
        </is>
      </c>
      <c r="B10">
        <f>SUMIF('Shift Records'!B:B,"Sep",'Shift Records'!N:N)</f>
        <v/>
      </c>
      <c r="C10">
        <f>SUMIF('Shift Records'!B:B,"Sep",'Shift Records'!O:O)</f>
        <v/>
      </c>
      <c r="D10">
        <f>B10-C10</f>
        <v/>
      </c>
    </row>
    <row r="11">
      <c r="A11" t="inlineStr">
        <is>
          <t>Oct</t>
        </is>
      </c>
      <c r="B11">
        <f>SUMIF('Shift Records'!B:B,"Oct",'Shift Records'!N:N)</f>
        <v/>
      </c>
      <c r="C11">
        <f>SUMIF('Shift Records'!B:B,"Oct",'Shift Records'!O:O)</f>
        <v/>
      </c>
      <c r="D11">
        <f>B11-C11</f>
        <v/>
      </c>
    </row>
    <row r="12">
      <c r="A12" t="inlineStr">
        <is>
          <t>Nov</t>
        </is>
      </c>
      <c r="B12">
        <f>SUMIF('Shift Records'!B:B,"Nov",'Shift Records'!N:N)</f>
        <v/>
      </c>
      <c r="C12">
        <f>SUMIF('Shift Records'!B:B,"Nov",'Shift Records'!O:O)</f>
        <v/>
      </c>
      <c r="D12">
        <f>B12-C12</f>
        <v/>
      </c>
    </row>
    <row r="13">
      <c r="A13" t="inlineStr">
        <is>
          <t>Dec</t>
        </is>
      </c>
      <c r="B13">
        <f>SUMIF('Shift Records'!B:B,"Dec",'Shift Records'!N:N)</f>
        <v/>
      </c>
      <c r="C13">
        <f>SUMIF('Shift Records'!B:B,"Dec",'Shift Records'!O:O)</f>
        <v/>
      </c>
      <c r="D13">
        <f>B13-C13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Client Name</t>
        </is>
      </c>
      <c r="B1" s="1" t="inlineStr">
        <is>
          <t>Total Gross (£)</t>
        </is>
      </c>
      <c r="C1" s="1" t="inlineStr">
        <is>
          <t>Total Net (£)</t>
        </is>
      </c>
    </row>
    <row r="2">
      <c r="B2">
        <f>SUMIF('Shift Records'!C:C,A2,'Shift Records'!N:N)</f>
        <v/>
      </c>
      <c r="C2">
        <f>SUMIF('Shift Records'!C:C,A2,'Shift Records'!P:P)</f>
        <v/>
      </c>
    </row>
    <row r="3">
      <c r="B3">
        <f>SUMIF('Shift Records'!C:C,A3,'Shift Records'!N:N)</f>
        <v/>
      </c>
      <c r="C3">
        <f>SUMIF('Shift Records'!C:C,A3,'Shift Records'!P:P)</f>
        <v/>
      </c>
    </row>
    <row r="4">
      <c r="B4">
        <f>SUMIF('Shift Records'!C:C,A4,'Shift Records'!N:N)</f>
        <v/>
      </c>
      <c r="C4">
        <f>SUMIF('Shift Records'!C:C,A4,'Shift Records'!P:P)</f>
        <v/>
      </c>
    </row>
    <row r="5">
      <c r="B5">
        <f>SUMIF('Shift Records'!C:C,A5,'Shift Records'!N:N)</f>
        <v/>
      </c>
      <c r="C5">
        <f>SUMIF('Shift Records'!C:C,A5,'Shift Records'!P:P)</f>
        <v/>
      </c>
    </row>
    <row r="6">
      <c r="B6">
        <f>SUMIF('Shift Records'!C:C,A6,'Shift Records'!N:N)</f>
        <v/>
      </c>
      <c r="C6">
        <f>SUMIF('Shift Records'!C:C,A6,'Shift Records'!P:P)</f>
        <v/>
      </c>
    </row>
    <row r="7">
      <c r="B7">
        <f>SUMIF('Shift Records'!C:C,A7,'Shift Records'!N:N)</f>
        <v/>
      </c>
      <c r="C7">
        <f>SUMIF('Shift Records'!C:C,A7,'Shift Records'!P:P)</f>
        <v/>
      </c>
    </row>
    <row r="8">
      <c r="B8">
        <f>SUMIF('Shift Records'!C:C,A8,'Shift Records'!N:N)</f>
        <v/>
      </c>
      <c r="C8">
        <f>SUMIF('Shift Records'!C:C,A8,'Shift Records'!P:P)</f>
        <v/>
      </c>
    </row>
    <row r="9">
      <c r="B9">
        <f>SUMIF('Shift Records'!C:C,A9,'Shift Records'!N:N)</f>
        <v/>
      </c>
      <c r="C9">
        <f>SUMIF('Shift Records'!C:C,A9,'Shift Records'!P:P)</f>
        <v/>
      </c>
    </row>
    <row r="10">
      <c r="B10">
        <f>SUMIF('Shift Records'!C:C,A10,'Shift Records'!N:N)</f>
        <v/>
      </c>
      <c r="C10">
        <f>SUMIF('Shift Records'!C:C,A10,'Shift Records'!P:P)</f>
        <v/>
      </c>
    </row>
    <row r="11">
      <c r="B11">
        <f>SUMIF('Shift Records'!C:C,A11,'Shift Records'!N:N)</f>
        <v/>
      </c>
      <c r="C11">
        <f>SUMIF('Shift Records'!C:C,A11,'Shift Records'!P:P)</f>
        <v/>
      </c>
    </row>
    <row r="12">
      <c r="B12">
        <f>SUMIF('Shift Records'!C:C,A12,'Shift Records'!N:N)</f>
        <v/>
      </c>
      <c r="C12">
        <f>SUMIF('Shift Records'!C:C,A12,'Shift Records'!P:P)</f>
        <v/>
      </c>
    </row>
    <row r="13">
      <c r="B13">
        <f>SUMIF('Shift Records'!C:C,A13,'Shift Records'!N:N)</f>
        <v/>
      </c>
      <c r="C13">
        <f>SUMIF('Shift Records'!C:C,A13,'Shift Records'!P:P)</f>
        <v/>
      </c>
    </row>
    <row r="14">
      <c r="B14">
        <f>SUMIF('Shift Records'!C:C,A14,'Shift Records'!N:N)</f>
        <v/>
      </c>
      <c r="C14">
        <f>SUMIF('Shift Records'!C:C,A14,'Shift Records'!P:P)</f>
        <v/>
      </c>
    </row>
    <row r="15">
      <c r="B15">
        <f>SUMIF('Shift Records'!C:C,A15,'Shift Records'!N:N)</f>
        <v/>
      </c>
      <c r="C15">
        <f>SUMIF('Shift Records'!C:C,A15,'Shift Records'!P:P)</f>
        <v/>
      </c>
    </row>
    <row r="16">
      <c r="B16">
        <f>SUMIF('Shift Records'!C:C,A16,'Shift Records'!N:N)</f>
        <v/>
      </c>
      <c r="C16">
        <f>SUMIF('Shift Records'!C:C,A16,'Shift Records'!P:P)</f>
        <v/>
      </c>
    </row>
    <row r="17">
      <c r="B17">
        <f>SUMIF('Shift Records'!C:C,A17,'Shift Records'!N:N)</f>
        <v/>
      </c>
      <c r="C17">
        <f>SUMIF('Shift Records'!C:C,A17,'Shift Records'!P:P)</f>
        <v/>
      </c>
    </row>
    <row r="18">
      <c r="B18">
        <f>SUMIF('Shift Records'!C:C,A18,'Shift Records'!N:N)</f>
        <v/>
      </c>
      <c r="C18">
        <f>SUMIF('Shift Records'!C:C,A18,'Shift Records'!P:P)</f>
        <v/>
      </c>
    </row>
    <row r="19">
      <c r="B19">
        <f>SUMIF('Shift Records'!C:C,A19,'Shift Records'!N:N)</f>
        <v/>
      </c>
      <c r="C19">
        <f>SUMIF('Shift Records'!C:C,A19,'Shift Records'!P:P)</f>
        <v/>
      </c>
    </row>
    <row r="20">
      <c r="B20">
        <f>SUMIF('Shift Records'!C:C,A20,'Shift Records'!N:N)</f>
        <v/>
      </c>
      <c r="C20">
        <f>SUMIF('Shift Records'!C:C,A20,'Shift Records'!P:P)</f>
        <v/>
      </c>
    </row>
    <row r="21">
      <c r="B21">
        <f>SUMIF('Shift Records'!C:C,A21,'Shift Records'!N:N)</f>
        <v/>
      </c>
      <c r="C21">
        <f>SUMIF('Shift Records'!C:C,A21,'Shift Records'!P:P)</f>
        <v/>
      </c>
    </row>
    <row r="22">
      <c r="B22">
        <f>SUMIF('Shift Records'!C:C,A22,'Shift Records'!N:N)</f>
        <v/>
      </c>
      <c r="C22">
        <f>SUMIF('Shift Records'!C:C,A22,'Shift Records'!P:P)</f>
        <v/>
      </c>
    </row>
    <row r="23">
      <c r="B23">
        <f>SUMIF('Shift Records'!C:C,A23,'Shift Records'!N:N)</f>
        <v/>
      </c>
      <c r="C23">
        <f>SUMIF('Shift Records'!C:C,A23,'Shift Records'!P:P)</f>
        <v/>
      </c>
    </row>
    <row r="24">
      <c r="B24">
        <f>SUMIF('Shift Records'!C:C,A24,'Shift Records'!N:N)</f>
        <v/>
      </c>
      <c r="C24">
        <f>SUMIF('Shift Records'!C:C,A24,'Shift Records'!P:P)</f>
        <v/>
      </c>
    </row>
    <row r="25">
      <c r="B25">
        <f>SUMIF('Shift Records'!C:C,A25,'Shift Records'!N:N)</f>
        <v/>
      </c>
      <c r="C25">
        <f>SUMIF('Shift Records'!C:C,A25,'Shift Records'!P:P)</f>
        <v/>
      </c>
    </row>
    <row r="26">
      <c r="B26">
        <f>SUMIF('Shift Records'!C:C,A26,'Shift Records'!N:N)</f>
        <v/>
      </c>
      <c r="C26">
        <f>SUMIF('Shift Records'!C:C,A26,'Shift Records'!P:P)</f>
        <v/>
      </c>
    </row>
    <row r="27">
      <c r="B27">
        <f>SUMIF('Shift Records'!C:C,A27,'Shift Records'!N:N)</f>
        <v/>
      </c>
      <c r="C27">
        <f>SUMIF('Shift Records'!C:C,A27,'Shift Records'!P:P)</f>
        <v/>
      </c>
    </row>
    <row r="28">
      <c r="B28">
        <f>SUMIF('Shift Records'!C:C,A28,'Shift Records'!N:N)</f>
        <v/>
      </c>
      <c r="C28">
        <f>SUMIF('Shift Records'!C:C,A28,'Shift Records'!P:P)</f>
        <v/>
      </c>
    </row>
    <row r="29">
      <c r="B29">
        <f>SUMIF('Shift Records'!C:C,A29,'Shift Records'!N:N)</f>
        <v/>
      </c>
      <c r="C29">
        <f>SUMIF('Shift Records'!C:C,A29,'Shift Records'!P:P)</f>
        <v/>
      </c>
    </row>
    <row r="30">
      <c r="B30">
        <f>SUMIF('Shift Records'!C:C,A30,'Shift Records'!N:N)</f>
        <v/>
      </c>
      <c r="C30">
        <f>SUMIF('Shift Records'!C:C,A30,'Shift Records'!P:P)</f>
        <v/>
      </c>
    </row>
    <row r="31">
      <c r="B31">
        <f>SUMIF('Shift Records'!C:C,A31,'Shift Records'!N:N)</f>
        <v/>
      </c>
      <c r="C31">
        <f>SUMIF('Shift Records'!C:C,A31,'Shift Records'!P:P)</f>
        <v/>
      </c>
    </row>
    <row r="32">
      <c r="B32">
        <f>SUMIF('Shift Records'!C:C,A32,'Shift Records'!N:N)</f>
        <v/>
      </c>
      <c r="C32">
        <f>SUMIF('Shift Records'!C:C,A32,'Shift Records'!P:P)</f>
        <v/>
      </c>
    </row>
    <row r="33">
      <c r="B33">
        <f>SUMIF('Shift Records'!C:C,A33,'Shift Records'!N:N)</f>
        <v/>
      </c>
      <c r="C33">
        <f>SUMIF('Shift Records'!C:C,A33,'Shift Records'!P:P)</f>
        <v/>
      </c>
    </row>
    <row r="34">
      <c r="B34">
        <f>SUMIF('Shift Records'!C:C,A34,'Shift Records'!N:N)</f>
        <v/>
      </c>
      <c r="C34">
        <f>SUMIF('Shift Records'!C:C,A34,'Shift Records'!P:P)</f>
        <v/>
      </c>
    </row>
    <row r="35">
      <c r="B35">
        <f>SUMIF('Shift Records'!C:C,A35,'Shift Records'!N:N)</f>
        <v/>
      </c>
      <c r="C35">
        <f>SUMIF('Shift Records'!C:C,A35,'Shift Records'!P:P)</f>
        <v/>
      </c>
    </row>
    <row r="36">
      <c r="B36">
        <f>SUMIF('Shift Records'!C:C,A36,'Shift Records'!N:N)</f>
        <v/>
      </c>
      <c r="C36">
        <f>SUMIF('Shift Records'!C:C,A36,'Shift Records'!P:P)</f>
        <v/>
      </c>
    </row>
    <row r="37">
      <c r="B37">
        <f>SUMIF('Shift Records'!C:C,A37,'Shift Records'!N:N)</f>
        <v/>
      </c>
      <c r="C37">
        <f>SUMIF('Shift Records'!C:C,A37,'Shift Records'!P:P)</f>
        <v/>
      </c>
    </row>
    <row r="38">
      <c r="B38">
        <f>SUMIF('Shift Records'!C:C,A38,'Shift Records'!N:N)</f>
        <v/>
      </c>
      <c r="C38">
        <f>SUMIF('Shift Records'!C:C,A38,'Shift Records'!P:P)</f>
        <v/>
      </c>
    </row>
    <row r="39">
      <c r="B39">
        <f>SUMIF('Shift Records'!C:C,A39,'Shift Records'!N:N)</f>
        <v/>
      </c>
      <c r="C39">
        <f>SUMIF('Shift Records'!C:C,A39,'Shift Records'!P:P)</f>
        <v/>
      </c>
    </row>
    <row r="40">
      <c r="B40">
        <f>SUMIF('Shift Records'!C:C,A40,'Shift Records'!N:N)</f>
        <v/>
      </c>
      <c r="C40">
        <f>SUMIF('Shift Records'!C:C,A40,'Shift Records'!P:P)</f>
        <v/>
      </c>
    </row>
    <row r="41">
      <c r="B41">
        <f>SUMIF('Shift Records'!C:C,A41,'Shift Records'!N:N)</f>
        <v/>
      </c>
      <c r="C41">
        <f>SUMIF('Shift Records'!C:C,A41,'Shift Records'!P:P)</f>
        <v/>
      </c>
    </row>
    <row r="42">
      <c r="B42">
        <f>SUMIF('Shift Records'!C:C,A42,'Shift Records'!N:N)</f>
        <v/>
      </c>
      <c r="C42">
        <f>SUMIF('Shift Records'!C:C,A42,'Shift Records'!P:P)</f>
        <v/>
      </c>
    </row>
    <row r="43">
      <c r="B43">
        <f>SUMIF('Shift Records'!C:C,A43,'Shift Records'!N:N)</f>
        <v/>
      </c>
      <c r="C43">
        <f>SUMIF('Shift Records'!C:C,A43,'Shift Records'!P:P)</f>
        <v/>
      </c>
    </row>
    <row r="44">
      <c r="B44">
        <f>SUMIF('Shift Records'!C:C,A44,'Shift Records'!N:N)</f>
        <v/>
      </c>
      <c r="C44">
        <f>SUMIF('Shift Records'!C:C,A44,'Shift Records'!P:P)</f>
        <v/>
      </c>
    </row>
    <row r="45">
      <c r="B45">
        <f>SUMIF('Shift Records'!C:C,A45,'Shift Records'!N:N)</f>
        <v/>
      </c>
      <c r="C45">
        <f>SUMIF('Shift Records'!C:C,A45,'Shift Records'!P:P)</f>
        <v/>
      </c>
    </row>
    <row r="46">
      <c r="B46">
        <f>SUMIF('Shift Records'!C:C,A46,'Shift Records'!N:N)</f>
        <v/>
      </c>
      <c r="C46">
        <f>SUMIF('Shift Records'!C:C,A46,'Shift Records'!P:P)</f>
        <v/>
      </c>
    </row>
    <row r="47">
      <c r="B47">
        <f>SUMIF('Shift Records'!C:C,A47,'Shift Records'!N:N)</f>
        <v/>
      </c>
      <c r="C47">
        <f>SUMIF('Shift Records'!C:C,A47,'Shift Records'!P:P)</f>
        <v/>
      </c>
    </row>
    <row r="48">
      <c r="B48">
        <f>SUMIF('Shift Records'!C:C,A48,'Shift Records'!N:N)</f>
        <v/>
      </c>
      <c r="C48">
        <f>SUMIF('Shift Records'!C:C,A48,'Shift Records'!P:P)</f>
        <v/>
      </c>
    </row>
    <row r="49">
      <c r="B49">
        <f>SUMIF('Shift Records'!C:C,A49,'Shift Records'!N:N)</f>
        <v/>
      </c>
      <c r="C49">
        <f>SUMIF('Shift Records'!C:C,A49,'Shift Records'!P:P)</f>
        <v/>
      </c>
    </row>
    <row r="50">
      <c r="B50">
        <f>SUMIF('Shift Records'!C:C,A50,'Shift Records'!N:N)</f>
        <v/>
      </c>
      <c r="C50">
        <f>SUMIF('Shift Records'!C:C,A50,'Shift Records'!P:P)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Total Net Income (£)</t>
        </is>
      </c>
      <c r="B1">
        <f>SUM('Shift Records'!P2:P501)</f>
        <v/>
      </c>
    </row>
    <row r="2">
      <c r="A2" s="1" t="inlineStr">
        <is>
          <t>Estimated Tax (20%)</t>
        </is>
      </c>
      <c r="B2">
        <f>B1*0.20</f>
        <v/>
      </c>
    </row>
    <row r="3">
      <c r="A3" s="1" t="inlineStr">
        <is>
          <t>Estimated National Insurance (9%)</t>
        </is>
      </c>
      <c r="B3">
        <f>B1*0.09</f>
        <v/>
      </c>
    </row>
    <row r="4">
      <c r="A4" s="1" t="inlineStr">
        <is>
          <t>Suggested Pension Saving (5%)</t>
        </is>
      </c>
      <c r="B4">
        <f>B1*0.05</f>
        <v/>
      </c>
    </row>
    <row r="5">
      <c r="A5" s="1" t="inlineStr">
        <is>
          <t>Estimated Take Home (£)</t>
        </is>
      </c>
      <c r="B5">
        <f>B1-B2-B3-B4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2026-03-06T01:34:58Z</dcterms:created>
  <dcterms:modified xmlns:dcterms="http://purl.org/dc/terms/" xmlns:xsi="http://www.w3.org/2001/XMLSchema-instance" xsi:type="dcterms:W3CDTF">2026-03-06T01:34:58Z</dcterms:modified>
</cp:coreProperties>
</file>